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it works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Example" sheetId="5" state="visible" r:id="rId5"/>
  </sheets>
  <definedNames>
    <definedName name="_xlnm._FilterDatabase" localSheetId="2" hidden="1">'Daily'!$A$2:$S$302</definedName>
    <definedName name="_xlnm._FilterDatabase" localSheetId="4" hidden="1">'Example'!$A$2:$S$5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1B2430"/>
      <sz val="16"/>
    </font>
    <font>
      <name val="Calibri"/>
      <color rgb="0055606B"/>
      <sz val="11"/>
    </font>
    <font>
      <name val="Calibri"/>
      <b val="1"/>
      <color rgb="001B2430"/>
      <sz val="11"/>
    </font>
    <font>
      <name val="Calibri"/>
      <b val="1"/>
      <color rgb="00FFFFFF"/>
      <sz val="10"/>
    </font>
    <font>
      <name val="Calibri"/>
      <color rgb="001B2430"/>
      <sz val="11"/>
    </font>
    <font>
      <name val="Calibri"/>
      <b val="1"/>
      <color rgb="001B2430"/>
      <sz val="10"/>
    </font>
    <font>
      <name val="Calibri"/>
      <b val="1"/>
      <color rgb="001B2430"/>
      <sz val="12"/>
    </font>
    <font>
      <name val="Calibri"/>
      <b val="1"/>
      <color rgb="001B2430"/>
      <sz val="14"/>
    </font>
  </fonts>
  <fills count="10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E8F0FB"/>
      </patternFill>
    </fill>
    <fill>
      <patternFill patternType="solid">
        <fgColor rgb="00F1F3F5"/>
      </patternFill>
    </fill>
    <fill>
      <patternFill patternType="solid">
        <fgColor rgb="00FBEDE8"/>
      </patternFill>
    </fill>
    <fill>
      <patternFill patternType="solid">
        <fgColor rgb="00FFF8E1"/>
      </patternFill>
    </fill>
    <fill>
      <patternFill patternType="solid">
        <fgColor rgb="00F4F6F8"/>
      </patternFill>
    </fill>
    <fill>
      <patternFill patternType="solid">
        <fgColor rgb="00EAF6EC"/>
      </patternFill>
    </fill>
    <fill>
      <patternFill patternType="solid">
        <fgColor rgb="0055606B"/>
      </patternFill>
    </fill>
  </fills>
  <borders count="6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  <border>
      <left/>
      <right/>
      <top style="thin">
        <color rgb="00C9D1D9"/>
      </top>
      <bottom/>
      <diagonal/>
    </border>
    <border>
      <left/>
      <right style="thin">
        <color rgb="00C9D1D9"/>
      </right>
      <top style="thin">
        <color rgb="00C9D1D9"/>
      </top>
      <bottom/>
      <diagonal/>
    </border>
    <border>
      <left/>
      <right/>
      <top style="thin">
        <color rgb="00C9D1D9"/>
      </top>
      <bottom style="thin">
        <color rgb="00C9D1D9"/>
      </bottom>
      <diagonal/>
    </border>
    <border>
      <left/>
      <right style="thin">
        <color rgb="00C9D1D9"/>
      </right>
      <top style="thin">
        <color rgb="00C9D1D9"/>
      </top>
      <bottom style="thin">
        <color rgb="00C9D1D9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7" borderId="1" pivotButton="0" quotePrefix="0" xfId="0"/>
    <xf numFmtId="0" fontId="5" fillId="8" borderId="1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pivotButton="0" quotePrefix="0" xfId="0"/>
    <xf numFmtId="4" fontId="3" fillId="6" borderId="1" pivotButton="0" quotePrefix="0" xfId="0"/>
    <xf numFmtId="0" fontId="2" fillId="0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left" vertical="center"/>
    </xf>
    <xf numFmtId="4" fontId="5" fillId="6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5" fillId="6" borderId="1" pivotButton="0" quotePrefix="0" xfId="0"/>
    <xf numFmtId="3" fontId="5" fillId="6" borderId="1" pivotButton="0" quotePrefix="0" xfId="0"/>
    <xf numFmtId="3" fontId="5" fillId="7" borderId="1" pivotButton="0" quotePrefix="0" xfId="0"/>
    <xf numFmtId="4" fontId="5" fillId="7" borderId="1" pivotButton="0" quotePrefix="0" xfId="0"/>
    <xf numFmtId="0" fontId="5" fillId="7" borderId="1" applyAlignment="1" pivotButton="0" quotePrefix="0" xfId="0">
      <alignment horizontal="left"/>
    </xf>
    <xf numFmtId="4" fontId="3" fillId="8" borderId="1" pivotButton="0" quotePrefix="0" xfId="0"/>
    <xf numFmtId="164" fontId="0" fillId="6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3" fontId="3" fillId="7" borderId="1" pivotButton="0" quotePrefix="0" xfId="0"/>
    <xf numFmtId="0" fontId="3" fillId="0" borderId="1" pivotButton="0" quotePrefix="0" xfId="0"/>
    <xf numFmtId="4" fontId="7" fillId="8" borderId="1" pivotButton="0" quotePrefix="0" xfId="0"/>
    <xf numFmtId="4" fontId="2" fillId="7" borderId="1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1B5E20"/>
      </font>
      <fill>
        <patternFill patternType="solid">
          <bgColor rgb="00C6EFCE"/>
        </patternFill>
      </fill>
    </dxf>
    <dxf>
      <font>
        <b val="1"/>
        <color rgb="009C1F1F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4" customWidth="1" min="5" max="5"/>
    <col width="24" customWidth="1" min="6" max="6"/>
    <col width="34" customWidth="1" min="7" max="7"/>
  </cols>
  <sheetData>
    <row r="1" ht="24" customHeight="1">
      <c r="A1" s="1" t="inlineStr">
        <is>
          <t>How this ledger works</t>
        </is>
      </c>
    </row>
    <row r="2">
      <c r="A2" s="2" t="inlineStr">
        <is>
          <t>Read this once. Then you only ever type on the Daily tab.</t>
        </is>
      </c>
    </row>
    <row r="4">
      <c r="B4" s="3" t="inlineStr">
        <is>
          <t>THE SIX LANES — every lead is one of these</t>
        </is>
      </c>
    </row>
    <row r="5" ht="30" customHeight="1">
      <c r="B5" s="4" t="inlineStr">
        <is>
          <t>Lead came from</t>
        </is>
      </c>
      <c r="C5" s="4" t="inlineStr">
        <is>
          <t>Sold to</t>
        </is>
      </c>
      <c r="D5" s="4" t="inlineStr">
        <is>
          <t>Who paid for the lead</t>
        </is>
      </c>
      <c r="E5" s="4" t="inlineStr">
        <is>
          <t>Who collects the sale</t>
        </is>
      </c>
      <c r="F5" s="4" t="inlineStr">
        <is>
          <t>Effect between Bob and Olivia</t>
        </is>
      </c>
    </row>
    <row r="6" ht="28" customHeight="1">
      <c r="B6" s="5" t="inlineStr">
        <is>
          <t>Bob's own campaign</t>
        </is>
      </c>
      <c r="C6" s="5" t="inlineStr">
        <is>
          <t>Olivia</t>
        </is>
      </c>
      <c r="D6" s="5" t="inlineStr">
        <is>
          <t>Bob (his ad spend)</t>
        </is>
      </c>
      <c r="E6" s="5" t="inlineStr">
        <is>
          <t>Olivia buys it</t>
        </is>
      </c>
      <c r="F6" s="5" t="inlineStr">
        <is>
          <t>OLIVIA OWES BOB — price per lead</t>
        </is>
      </c>
    </row>
    <row r="7" ht="28" customHeight="1">
      <c r="B7" s="5" t="inlineStr">
        <is>
          <t>S</t>
        </is>
      </c>
      <c r="C7" s="5" t="inlineStr">
        <is>
          <t>Olivia</t>
        </is>
      </c>
      <c r="D7" s="5" t="inlineStr">
        <is>
          <t>Bob (pays S)</t>
        </is>
      </c>
      <c r="E7" s="5" t="inlineStr">
        <is>
          <t>Olivia buys it</t>
        </is>
      </c>
      <c r="F7" s="5" t="inlineStr">
        <is>
          <t>OLIVIA OWES BOB — same price per lead</t>
        </is>
      </c>
    </row>
    <row r="8" ht="28" customHeight="1">
      <c r="B8" s="6" t="inlineStr">
        <is>
          <t>GS</t>
        </is>
      </c>
      <c r="C8" s="6" t="inlineStr">
        <is>
          <t>Olivia</t>
        </is>
      </c>
      <c r="D8" s="6" t="inlineStr">
        <is>
          <t>Olivia (pays GS)</t>
        </is>
      </c>
      <c r="E8" s="6" t="inlineStr">
        <is>
          <t>Olivia's own buyer</t>
        </is>
      </c>
      <c r="F8" s="6" t="inlineStr">
        <is>
          <t>nothing — both sides are Olivia's</t>
        </is>
      </c>
    </row>
    <row r="9" ht="28" customHeight="1">
      <c r="B9" s="6" t="inlineStr">
        <is>
          <t>Bob's own campaign</t>
        </is>
      </c>
      <c r="C9" s="6" t="inlineStr">
        <is>
          <t>Bob's private buyer (GLU)</t>
        </is>
      </c>
      <c r="D9" s="6" t="inlineStr">
        <is>
          <t>Bob (his ad spend)</t>
        </is>
      </c>
      <c r="E9" s="6" t="inlineStr">
        <is>
          <t>Bob (from GLU)</t>
        </is>
      </c>
      <c r="F9" s="6" t="inlineStr">
        <is>
          <t>nothing — both sides are Bob's *</t>
        </is>
      </c>
    </row>
    <row r="10" ht="28" customHeight="1">
      <c r="B10" s="6" t="inlineStr">
        <is>
          <t>S</t>
        </is>
      </c>
      <c r="C10" s="6" t="inlineStr">
        <is>
          <t>Bob's private buyer (GLU)</t>
        </is>
      </c>
      <c r="D10" s="6" t="inlineStr">
        <is>
          <t>Bob (pays S)</t>
        </is>
      </c>
      <c r="E10" s="6" t="inlineStr">
        <is>
          <t>Bob (from GLU)</t>
        </is>
      </c>
      <c r="F10" s="6" t="inlineStr">
        <is>
          <t>nothing — both sides are Bob's *</t>
        </is>
      </c>
    </row>
    <row r="11" ht="28" customHeight="1">
      <c r="B11" s="7" t="inlineStr">
        <is>
          <t>GS</t>
        </is>
      </c>
      <c r="C11" s="7" t="inlineStr">
        <is>
          <t>Bob's private buyer (GLU)</t>
        </is>
      </c>
      <c r="D11" s="7" t="inlineStr">
        <is>
          <t>Olivia (pays GS)</t>
        </is>
      </c>
      <c r="E11" s="7" t="inlineStr">
        <is>
          <t>Bob (from GLU)</t>
        </is>
      </c>
      <c r="F11" s="7" t="inlineStr">
        <is>
          <t>BOB OWES OLIVIA — transfer price per lead</t>
        </is>
      </c>
    </row>
    <row r="13">
      <c r="B13" s="2" t="inlineStr">
        <is>
          <t>* plus a per-lead panel fee, if you agree one. The rate is 0 by default, so it does nothing until you put a number in it.</t>
        </is>
      </c>
    </row>
    <row r="16">
      <c r="B16" s="3" t="inlineStr">
        <is>
          <t>THE ONE RULE</t>
        </is>
      </c>
    </row>
    <row r="17" ht="30" customHeight="1">
      <c r="B17" s="8" t="inlineStr">
        <is>
          <t>NET  =  (what Olivia owes Bob)  -  (what Bob owes Olivia)  +/-  the other cost, if you settle it</t>
        </is>
      </c>
    </row>
    <row r="18" ht="18" customHeight="1">
      <c r="B18" s="9" t="inlineStr"/>
    </row>
    <row r="19" ht="30" customHeight="1">
      <c r="B19" s="9" t="inlineStr">
        <is>
          <t>The NET is always written from Olivia's side. Positive means Olivia pays Bob. Negative means Bob pays Olivia. It is the last column on the Daily tab.</t>
        </is>
      </c>
    </row>
    <row r="22">
      <c r="B22" s="3" t="inlineStr">
        <is>
          <t>WHAT TO DO EACH DAY</t>
        </is>
      </c>
    </row>
    <row r="23">
      <c r="B23" s="9" t="inlineStr">
        <is>
          <t>1.  Open the Daily tab. Put the date in column A.</t>
        </is>
      </c>
    </row>
    <row r="24">
      <c r="B24" s="9" t="inlineStr">
        <is>
          <t>2.  Put the six lead counts in columns B to G. Leave a lane blank if it did not happen.</t>
        </is>
      </c>
    </row>
    <row r="25">
      <c r="B25" s="9" t="inlineStr">
        <is>
          <t>3.  The three price columns fill themselves from the Rates tab. Type over one only if the price changed that day.</t>
        </is>
      </c>
    </row>
    <row r="26">
      <c r="B26" s="9" t="inlineStr">
        <is>
          <t>4.  If there was any other cost, put the amount, who paid it, and YES or NO in columns N, O, P.</t>
        </is>
      </c>
    </row>
    <row r="27">
      <c r="B27" s="9" t="inlineStr">
        <is>
          <t>5.  Read the last column. It tells you who pays whom, and how much.</t>
        </is>
      </c>
    </row>
    <row r="30">
      <c r="B30" s="3" t="inlineStr">
        <is>
          <t>COLOUR CODE</t>
        </is>
      </c>
    </row>
    <row r="31">
      <c r="B31" s="10" t="inlineStr">
        <is>
          <t>Yellow cells — you type in these</t>
        </is>
      </c>
      <c r="C31" s="11" t="n"/>
      <c r="D31" s="12" t="n"/>
    </row>
    <row r="32">
      <c r="B32" s="13" t="inlineStr">
        <is>
          <t>Grey cells — worked out for you, do not type in these</t>
        </is>
      </c>
      <c r="C32" s="11" t="n"/>
      <c r="D32" s="12" t="n"/>
    </row>
    <row r="33">
      <c r="B33" s="14" t="inlineStr">
        <is>
          <t>Green cell — the answer for that day</t>
        </is>
      </c>
      <c r="C33" s="11" t="n"/>
      <c r="D33" s="12" t="n"/>
    </row>
    <row r="36">
      <c r="B36" s="3" t="inlineStr">
        <is>
          <t>THINGS THIS SHEET ASSUMES — tell me if any is wrong</t>
        </is>
      </c>
    </row>
    <row r="37">
      <c r="B37" s="9" t="inlineStr">
        <is>
          <t>a.  Olivia pays Bob the same price per lead whether the lead came from Bob's campaign or from S.</t>
        </is>
      </c>
    </row>
    <row r="38">
      <c r="B38" s="9" t="inlineStr">
        <is>
          <t>b.  A GS lead that ends up with Bob's private buyer is paid for by Bob at the transfer price on the Rates tab.</t>
        </is>
      </c>
    </row>
    <row r="39">
      <c r="B39" s="9" t="inlineStr">
        <is>
          <t>c.  Other cost set to YES means the other party pays the payer back in full, not half.</t>
        </is>
      </c>
    </row>
    <row r="40">
      <c r="B40" s="9" t="inlineStr">
        <is>
          <t>d.  All of Bob's private buyers are counted together. Only GLU is named so far.</t>
        </is>
      </c>
    </row>
  </sheetData>
  <mergeCells count="15">
    <mergeCell ref="B33:D33"/>
    <mergeCell ref="B39:F39"/>
    <mergeCell ref="B24:F24"/>
    <mergeCell ref="B31:D31"/>
    <mergeCell ref="B38:F38"/>
    <mergeCell ref="B25:F25"/>
    <mergeCell ref="B32:D32"/>
    <mergeCell ref="B19:F19"/>
    <mergeCell ref="B37:F37"/>
    <mergeCell ref="B23:F23"/>
    <mergeCell ref="B40:F40"/>
    <mergeCell ref="B26:F26"/>
    <mergeCell ref="B17:F17"/>
    <mergeCell ref="B18:F18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6" customWidth="1" min="2" max="2"/>
    <col width="14" customWidth="1" min="3" max="3"/>
    <col width="22" customWidth="1" min="4" max="4"/>
    <col width="52" customWidth="1" min="5" max="5"/>
  </cols>
  <sheetData>
    <row r="1" ht="24" customHeight="1">
      <c r="A1" s="1" t="inlineStr">
        <is>
          <t>Rates — set these once</t>
        </is>
      </c>
    </row>
    <row r="2">
      <c r="A2" s="2" t="inlineStr">
        <is>
          <t>The Daily tab reads the three settlement rates from here.</t>
        </is>
      </c>
    </row>
    <row r="4">
      <c r="B4" s="3" t="inlineStr">
        <is>
          <t>SETTLEMENT RATES — these three are the only ones that move money between Bob and Olivia</t>
        </is>
      </c>
    </row>
    <row r="5" ht="22" customHeight="1">
      <c r="B5" s="15" t="inlineStr">
        <is>
          <t>Rate</t>
        </is>
      </c>
      <c r="C5" s="15" t="inlineStr">
        <is>
          <t>Value</t>
        </is>
      </c>
      <c r="D5" s="15" t="inlineStr">
        <is>
          <t>Direction</t>
        </is>
      </c>
      <c r="E5" s="15" t="inlineStr">
        <is>
          <t>Notes</t>
        </is>
      </c>
    </row>
    <row r="6" ht="30" customHeight="1">
      <c r="B6" s="16" t="inlineStr">
        <is>
          <t>Bob to Olivia — price per lead</t>
        </is>
      </c>
      <c r="C6" s="17" t="n">
        <v>8</v>
      </c>
      <c r="D6" s="16" t="inlineStr">
        <is>
          <t>Olivia pays Bob</t>
        </is>
      </c>
      <c r="E6" s="18" t="inlineStr">
        <is>
          <t>Same price whether the lead came from Bob's campaign or from S.</t>
        </is>
      </c>
    </row>
    <row r="7" ht="30" customHeight="1">
      <c r="B7" s="16" t="inlineStr">
        <is>
          <t>GS lead sold to Bob's private buyer — price per lead</t>
        </is>
      </c>
      <c r="C7" s="17">
        <f>C15</f>
        <v/>
      </c>
      <c r="D7" s="16" t="inlineStr">
        <is>
          <t>Bob pays Olivia</t>
        </is>
      </c>
      <c r="E7" s="18" t="inlineStr">
        <is>
          <t>Defaults to what GS costs Olivia. Type a number over it if you agreed a different price.</t>
        </is>
      </c>
    </row>
    <row r="8" ht="30" customHeight="1">
      <c r="B8" s="16" t="inlineStr">
        <is>
          <t>Panel fee per lead on Bob's private-buyer leads</t>
        </is>
      </c>
      <c r="C8" s="17" t="n">
        <v>0</v>
      </c>
      <c r="D8" s="16" t="inlineStr">
        <is>
          <t>Bob pays Olivia</t>
        </is>
      </c>
      <c r="E8" s="18" t="inlineStr">
        <is>
          <t>Leave at 0 if Bob pays nothing for using Olivia's panel.</t>
        </is>
      </c>
    </row>
    <row r="11">
      <c r="B11" s="3" t="inlineStr">
        <is>
          <t>REFERENCE ONLY — recorded so the prices are written down. Nothing here changes what Bob and Olivia owe each other.</t>
        </is>
      </c>
    </row>
    <row r="12">
      <c r="B12" s="19" t="inlineStr">
        <is>
          <t>Rate</t>
        </is>
      </c>
      <c r="C12" s="19" t="inlineStr">
        <is>
          <t>Value</t>
        </is>
      </c>
      <c r="D12" s="19" t="inlineStr">
        <is>
          <t>Who pays it</t>
        </is>
      </c>
      <c r="E12" s="19" t="inlineStr">
        <is>
          <t>Notes</t>
        </is>
      </c>
    </row>
    <row r="13">
      <c r="B13" s="16" t="inlineStr">
        <is>
          <t>Bob's own campaign — cost per lead</t>
        </is>
      </c>
      <c r="C13" s="20" t="n">
        <v>0</v>
      </c>
      <c r="D13" s="16" t="inlineStr">
        <is>
          <t>Bob</t>
        </is>
      </c>
      <c r="E13" s="21" t="inlineStr">
        <is>
          <t>Bob's ad spend divided by leads.</t>
        </is>
      </c>
    </row>
    <row r="14">
      <c r="B14" s="16" t="inlineStr">
        <is>
          <t>S — cost per lead</t>
        </is>
      </c>
      <c r="C14" s="20" t="n">
        <v>0</v>
      </c>
      <c r="D14" s="16" t="inlineStr">
        <is>
          <t>Bob</t>
        </is>
      </c>
      <c r="E14" s="21" t="inlineStr">
        <is>
          <t>What Bob pays S.</t>
        </is>
      </c>
    </row>
    <row r="15">
      <c r="B15" s="16" t="inlineStr">
        <is>
          <t>GS — cost per lead</t>
        </is>
      </c>
      <c r="C15" s="20" t="n">
        <v>6</v>
      </c>
      <c r="D15" s="16" t="inlineStr">
        <is>
          <t>Olivia</t>
        </is>
      </c>
      <c r="E15" s="21" t="inlineStr">
        <is>
          <t>What Olivia pays GS. Row 7 above defaults to this.</t>
        </is>
      </c>
    </row>
    <row r="16">
      <c r="B16" s="16" t="inlineStr">
        <is>
          <t>Bob to GLU — price per lead</t>
        </is>
      </c>
      <c r="C16" s="20" t="n">
        <v>0</v>
      </c>
      <c r="D16" s="16" t="inlineStr">
        <is>
          <t>GLU pays Bob</t>
        </is>
      </c>
      <c r="E16" s="21" t="inlineStr">
        <is>
          <t>Bob's private-buyer price.</t>
        </is>
      </c>
    </row>
    <row r="19">
      <c r="B19" s="3" t="inlineStr">
        <is>
          <t>Currency</t>
        </is>
      </c>
      <c r="C19" s="10" t="inlineStr">
        <is>
          <t>USD</t>
        </is>
      </c>
      <c r="E19" s="2" t="inlineStr">
        <is>
          <t>Label only. Every amount in the file is in this currency.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0" customWidth="1" min="11" max="11"/>
    <col width="13" customWidth="1" min="12" max="12"/>
    <col width="13" customWidth="1" min="13" max="13"/>
    <col width="11" customWidth="1" min="14" max="14"/>
    <col width="11" customWidth="1" min="15" max="15"/>
    <col width="11" customWidth="1" min="16" max="16"/>
    <col width="12" customWidth="1" min="17" max="17"/>
    <col width="30" customWidth="1" min="18" max="18"/>
    <col width="18" customWidth="1" min="19" max="19"/>
  </cols>
  <sheetData>
    <row r="1" ht="22" customHeight="1">
      <c r="A1" s="1" t="inlineStr">
        <is>
          <t>Daily ledger — type the date and the six lead counts, read the last column</t>
        </is>
      </c>
    </row>
    <row r="2" ht="46" customHeight="1">
      <c r="A2" s="22" t="inlineStr">
        <is>
          <t>Date</t>
        </is>
      </c>
      <c r="B2" s="23" t="inlineStr">
        <is>
          <t>Leads
Bob's own
-&gt; Olivia</t>
        </is>
      </c>
      <c r="C2" s="23" t="inlineStr">
        <is>
          <t>Leads
S
-&gt; Olivia</t>
        </is>
      </c>
      <c r="D2" s="24" t="inlineStr">
        <is>
          <t>Leads
GS
-&gt; Olivia</t>
        </is>
      </c>
      <c r="E2" s="24" t="inlineStr">
        <is>
          <t>Leads
Bob's own
-&gt; GLU</t>
        </is>
      </c>
      <c r="F2" s="24" t="inlineStr">
        <is>
          <t>Leads
S
-&gt; GLU</t>
        </is>
      </c>
      <c r="G2" s="25" t="inlineStr">
        <is>
          <t>Leads
GS
-&gt; GLU</t>
        </is>
      </c>
      <c r="H2" s="22" t="inlineStr">
        <is>
          <t>Total
leads</t>
        </is>
      </c>
      <c r="I2" s="22" t="inlineStr">
        <is>
          <t>Price
Bob -&gt; Olivia
per lead</t>
        </is>
      </c>
      <c r="J2" s="22" t="inlineStr">
        <is>
          <t>Price
GS -&gt; GLU
per lead</t>
        </is>
      </c>
      <c r="K2" s="22" t="inlineStr">
        <is>
          <t>Panel fee
per lead</t>
        </is>
      </c>
      <c r="L2" s="22" t="inlineStr">
        <is>
          <t>OLIVIA
OWES BOB</t>
        </is>
      </c>
      <c r="M2" s="22" t="inlineStr">
        <is>
          <t>BOB
OWES OLIVIA</t>
        </is>
      </c>
      <c r="N2" s="22" t="inlineStr">
        <is>
          <t>Other cost
amount</t>
        </is>
      </c>
      <c r="O2" s="22" t="inlineStr">
        <is>
          <t>Other cost
paid by</t>
        </is>
      </c>
      <c r="P2" s="22" t="inlineStr">
        <is>
          <t>Settle it?
YES / NO</t>
        </is>
      </c>
      <c r="Q2" s="22" t="inlineStr">
        <is>
          <t>Other cost
adjustment</t>
        </is>
      </c>
      <c r="R2" s="22" t="inlineStr">
        <is>
          <t>Who pays whom</t>
        </is>
      </c>
      <c r="S2" s="22" t="inlineStr">
        <is>
          <t>NET
(+ Olivia pays Bob)
(- Bob pays Olivia)</t>
        </is>
      </c>
    </row>
    <row r="3" ht="17" customHeight="1">
      <c r="A3" s="26" t="n"/>
      <c r="B3" s="27" t="n"/>
      <c r="C3" s="27" t="n"/>
      <c r="D3" s="27" t="n"/>
      <c r="E3" s="27" t="n"/>
      <c r="F3" s="27" t="n"/>
      <c r="G3" s="27" t="n"/>
      <c r="H3" s="28">
        <f>IF($A3="","",SUM($B3:$G3))</f>
        <v/>
      </c>
      <c r="I3" s="29">
        <f>IF($A3="","",Rates!$C$6)</f>
        <v/>
      </c>
      <c r="J3" s="29">
        <f>IF($A3="","",Rates!$C$7)</f>
        <v/>
      </c>
      <c r="K3" s="29">
        <f>IF($A3="","",Rates!$C$8)</f>
        <v/>
      </c>
      <c r="L3" s="29">
        <f>IF($A3="","",($B3+$C3)*$I3)</f>
        <v/>
      </c>
      <c r="M3" s="29">
        <f>IF($A3="","",$G3*$J3+($E3+$F3+$G3)*$K3)</f>
        <v/>
      </c>
      <c r="N3" s="20" t="n"/>
      <c r="O3" s="10" t="n"/>
      <c r="P3" s="10" t="n"/>
      <c r="Q3" s="29">
        <f>IF($A3="","",IF($P3="YES",IF($O3="Bob",$N3,-$N3),0))</f>
        <v/>
      </c>
      <c r="R3" s="30">
        <f>IF($A3="","",IF(ROUND($S3,2)&gt;0,"Olivia pays Bob "&amp;TEXT($S3,"#,##0.00"),IF(ROUND($S3,2)&lt;0,"Bob pays Olivia "&amp;TEXT(-$S3,"#,##0.00"),"Nothing owed")))</f>
        <v/>
      </c>
      <c r="S3" s="31">
        <f>IF($A3="","",$L3-$M3+$Q3)</f>
        <v/>
      </c>
    </row>
    <row r="4" ht="17" customHeight="1">
      <c r="A4" s="26" t="n"/>
      <c r="B4" s="27" t="n"/>
      <c r="C4" s="27" t="n"/>
      <c r="D4" s="27" t="n"/>
      <c r="E4" s="27" t="n"/>
      <c r="F4" s="27" t="n"/>
      <c r="G4" s="27" t="n"/>
      <c r="H4" s="28">
        <f>IF($A4="","",SUM($B4:$G4))</f>
        <v/>
      </c>
      <c r="I4" s="29">
        <f>IF($A4="","",Rates!$C$6)</f>
        <v/>
      </c>
      <c r="J4" s="29">
        <f>IF($A4="","",Rates!$C$7)</f>
        <v/>
      </c>
      <c r="K4" s="29">
        <f>IF($A4="","",Rates!$C$8)</f>
        <v/>
      </c>
      <c r="L4" s="29">
        <f>IF($A4="","",($B4+$C4)*$I4)</f>
        <v/>
      </c>
      <c r="M4" s="29">
        <f>IF($A4="","",$G4*$J4+($E4+$F4+$G4)*$K4)</f>
        <v/>
      </c>
      <c r="N4" s="20" t="n"/>
      <c r="O4" s="10" t="n"/>
      <c r="P4" s="10" t="n"/>
      <c r="Q4" s="29">
        <f>IF($A4="","",IF($P4="YES",IF($O4="Bob",$N4,-$N4),0))</f>
        <v/>
      </c>
      <c r="R4" s="30">
        <f>IF($A4="","",IF(ROUND($S4,2)&gt;0,"Olivia pays Bob "&amp;TEXT($S4,"#,##0.00"),IF(ROUND($S4,2)&lt;0,"Bob pays Olivia "&amp;TEXT(-$S4,"#,##0.00"),"Nothing owed")))</f>
        <v/>
      </c>
      <c r="S4" s="31">
        <f>IF($A4="","",$L4-$M4+$Q4)</f>
        <v/>
      </c>
    </row>
    <row r="5" ht="17" customHeight="1">
      <c r="A5" s="26" t="n"/>
      <c r="B5" s="27" t="n"/>
      <c r="C5" s="27" t="n"/>
      <c r="D5" s="27" t="n"/>
      <c r="E5" s="27" t="n"/>
      <c r="F5" s="27" t="n"/>
      <c r="G5" s="27" t="n"/>
      <c r="H5" s="28">
        <f>IF($A5="","",SUM($B5:$G5))</f>
        <v/>
      </c>
      <c r="I5" s="29">
        <f>IF($A5="","",Rates!$C$6)</f>
        <v/>
      </c>
      <c r="J5" s="29">
        <f>IF($A5="","",Rates!$C$7)</f>
        <v/>
      </c>
      <c r="K5" s="29">
        <f>IF($A5="","",Rates!$C$8)</f>
        <v/>
      </c>
      <c r="L5" s="29">
        <f>IF($A5="","",($B5+$C5)*$I5)</f>
        <v/>
      </c>
      <c r="M5" s="29">
        <f>IF($A5="","",$G5*$J5+($E5+$F5+$G5)*$K5)</f>
        <v/>
      </c>
      <c r="N5" s="20" t="n"/>
      <c r="O5" s="10" t="n"/>
      <c r="P5" s="10" t="n"/>
      <c r="Q5" s="29">
        <f>IF($A5="","",IF($P5="YES",IF($O5="Bob",$N5,-$N5),0))</f>
        <v/>
      </c>
      <c r="R5" s="30">
        <f>IF($A5="","",IF(ROUND($S5,2)&gt;0,"Olivia pays Bob "&amp;TEXT($S5,"#,##0.00"),IF(ROUND($S5,2)&lt;0,"Bob pays Olivia "&amp;TEXT(-$S5,"#,##0.00"),"Nothing owed")))</f>
        <v/>
      </c>
      <c r="S5" s="31">
        <f>IF($A5="","",$L5-$M5+$Q5)</f>
        <v/>
      </c>
    </row>
    <row r="6" ht="17" customHeight="1">
      <c r="A6" s="26" t="n"/>
      <c r="B6" s="27" t="n"/>
      <c r="C6" s="27" t="n"/>
      <c r="D6" s="27" t="n"/>
      <c r="E6" s="27" t="n"/>
      <c r="F6" s="27" t="n"/>
      <c r="G6" s="27" t="n"/>
      <c r="H6" s="28">
        <f>IF($A6="","",SUM($B6:$G6))</f>
        <v/>
      </c>
      <c r="I6" s="29">
        <f>IF($A6="","",Rates!$C$6)</f>
        <v/>
      </c>
      <c r="J6" s="29">
        <f>IF($A6="","",Rates!$C$7)</f>
        <v/>
      </c>
      <c r="K6" s="29">
        <f>IF($A6="","",Rates!$C$8)</f>
        <v/>
      </c>
      <c r="L6" s="29">
        <f>IF($A6="","",($B6+$C6)*$I6)</f>
        <v/>
      </c>
      <c r="M6" s="29">
        <f>IF($A6="","",$G6*$J6+($E6+$F6+$G6)*$K6)</f>
        <v/>
      </c>
      <c r="N6" s="20" t="n"/>
      <c r="O6" s="10" t="n"/>
      <c r="P6" s="10" t="n"/>
      <c r="Q6" s="29">
        <f>IF($A6="","",IF($P6="YES",IF($O6="Bob",$N6,-$N6),0))</f>
        <v/>
      </c>
      <c r="R6" s="30">
        <f>IF($A6="","",IF(ROUND($S6,2)&gt;0,"Olivia pays Bob "&amp;TEXT($S6,"#,##0.00"),IF(ROUND($S6,2)&lt;0,"Bob pays Olivia "&amp;TEXT(-$S6,"#,##0.00"),"Nothing owed")))</f>
        <v/>
      </c>
      <c r="S6" s="31">
        <f>IF($A6="","",$L6-$M6+$Q6)</f>
        <v/>
      </c>
    </row>
    <row r="7" ht="17" customHeight="1">
      <c r="A7" s="26" t="n"/>
      <c r="B7" s="27" t="n"/>
      <c r="C7" s="27" t="n"/>
      <c r="D7" s="27" t="n"/>
      <c r="E7" s="27" t="n"/>
      <c r="F7" s="27" t="n"/>
      <c r="G7" s="27" t="n"/>
      <c r="H7" s="28">
        <f>IF($A7="","",SUM($B7:$G7))</f>
        <v/>
      </c>
      <c r="I7" s="29">
        <f>IF($A7="","",Rates!$C$6)</f>
        <v/>
      </c>
      <c r="J7" s="29">
        <f>IF($A7="","",Rates!$C$7)</f>
        <v/>
      </c>
      <c r="K7" s="29">
        <f>IF($A7="","",Rates!$C$8)</f>
        <v/>
      </c>
      <c r="L7" s="29">
        <f>IF($A7="","",($B7+$C7)*$I7)</f>
        <v/>
      </c>
      <c r="M7" s="29">
        <f>IF($A7="","",$G7*$J7+($E7+$F7+$G7)*$K7)</f>
        <v/>
      </c>
      <c r="N7" s="20" t="n"/>
      <c r="O7" s="10" t="n"/>
      <c r="P7" s="10" t="n"/>
      <c r="Q7" s="29">
        <f>IF($A7="","",IF($P7="YES",IF($O7="Bob",$N7,-$N7),0))</f>
        <v/>
      </c>
      <c r="R7" s="30">
        <f>IF($A7="","",IF(ROUND($S7,2)&gt;0,"Olivia pays Bob "&amp;TEXT($S7,"#,##0.00"),IF(ROUND($S7,2)&lt;0,"Bob pays Olivia "&amp;TEXT(-$S7,"#,##0.00"),"Nothing owed")))</f>
        <v/>
      </c>
      <c r="S7" s="31">
        <f>IF($A7="","",$L7-$M7+$Q7)</f>
        <v/>
      </c>
    </row>
    <row r="8" ht="17" customHeight="1">
      <c r="A8" s="26" t="n"/>
      <c r="B8" s="27" t="n"/>
      <c r="C8" s="27" t="n"/>
      <c r="D8" s="27" t="n"/>
      <c r="E8" s="27" t="n"/>
      <c r="F8" s="27" t="n"/>
      <c r="G8" s="27" t="n"/>
      <c r="H8" s="28">
        <f>IF($A8="","",SUM($B8:$G8))</f>
        <v/>
      </c>
      <c r="I8" s="29">
        <f>IF($A8="","",Rates!$C$6)</f>
        <v/>
      </c>
      <c r="J8" s="29">
        <f>IF($A8="","",Rates!$C$7)</f>
        <v/>
      </c>
      <c r="K8" s="29">
        <f>IF($A8="","",Rates!$C$8)</f>
        <v/>
      </c>
      <c r="L8" s="29">
        <f>IF($A8="","",($B8+$C8)*$I8)</f>
        <v/>
      </c>
      <c r="M8" s="29">
        <f>IF($A8="","",$G8*$J8+($E8+$F8+$G8)*$K8)</f>
        <v/>
      </c>
      <c r="N8" s="20" t="n"/>
      <c r="O8" s="10" t="n"/>
      <c r="P8" s="10" t="n"/>
      <c r="Q8" s="29">
        <f>IF($A8="","",IF($P8="YES",IF($O8="Bob",$N8,-$N8),0))</f>
        <v/>
      </c>
      <c r="R8" s="30">
        <f>IF($A8="","",IF(ROUND($S8,2)&gt;0,"Olivia pays Bob "&amp;TEXT($S8,"#,##0.00"),IF(ROUND($S8,2)&lt;0,"Bob pays Olivia "&amp;TEXT(-$S8,"#,##0.00"),"Nothing owed")))</f>
        <v/>
      </c>
      <c r="S8" s="31">
        <f>IF($A8="","",$L8-$M8+$Q8)</f>
        <v/>
      </c>
    </row>
    <row r="9" ht="17" customHeight="1">
      <c r="A9" s="26" t="n"/>
      <c r="B9" s="27" t="n"/>
      <c r="C9" s="27" t="n"/>
      <c r="D9" s="27" t="n"/>
      <c r="E9" s="27" t="n"/>
      <c r="F9" s="27" t="n"/>
      <c r="G9" s="27" t="n"/>
      <c r="H9" s="28">
        <f>IF($A9="","",SUM($B9:$G9))</f>
        <v/>
      </c>
      <c r="I9" s="29">
        <f>IF($A9="","",Rates!$C$6)</f>
        <v/>
      </c>
      <c r="J9" s="29">
        <f>IF($A9="","",Rates!$C$7)</f>
        <v/>
      </c>
      <c r="K9" s="29">
        <f>IF($A9="","",Rates!$C$8)</f>
        <v/>
      </c>
      <c r="L9" s="29">
        <f>IF($A9="","",($B9+$C9)*$I9)</f>
        <v/>
      </c>
      <c r="M9" s="29">
        <f>IF($A9="","",$G9*$J9+($E9+$F9+$G9)*$K9)</f>
        <v/>
      </c>
      <c r="N9" s="20" t="n"/>
      <c r="O9" s="10" t="n"/>
      <c r="P9" s="10" t="n"/>
      <c r="Q9" s="29">
        <f>IF($A9="","",IF($P9="YES",IF($O9="Bob",$N9,-$N9),0))</f>
        <v/>
      </c>
      <c r="R9" s="30">
        <f>IF($A9="","",IF(ROUND($S9,2)&gt;0,"Olivia pays Bob "&amp;TEXT($S9,"#,##0.00"),IF(ROUND($S9,2)&lt;0,"Bob pays Olivia "&amp;TEXT(-$S9,"#,##0.00"),"Nothing owed")))</f>
        <v/>
      </c>
      <c r="S9" s="31">
        <f>IF($A9="","",$L9-$M9+$Q9)</f>
        <v/>
      </c>
    </row>
    <row r="10" ht="17" customHeight="1">
      <c r="A10" s="26" t="n"/>
      <c r="B10" s="27" t="n"/>
      <c r="C10" s="27" t="n"/>
      <c r="D10" s="27" t="n"/>
      <c r="E10" s="27" t="n"/>
      <c r="F10" s="27" t="n"/>
      <c r="G10" s="27" t="n"/>
      <c r="H10" s="28">
        <f>IF($A10="","",SUM($B10:$G10))</f>
        <v/>
      </c>
      <c r="I10" s="29">
        <f>IF($A10="","",Rates!$C$6)</f>
        <v/>
      </c>
      <c r="J10" s="29">
        <f>IF($A10="","",Rates!$C$7)</f>
        <v/>
      </c>
      <c r="K10" s="29">
        <f>IF($A10="","",Rates!$C$8)</f>
        <v/>
      </c>
      <c r="L10" s="29">
        <f>IF($A10="","",($B10+$C10)*$I10)</f>
        <v/>
      </c>
      <c r="M10" s="29">
        <f>IF($A10="","",$G10*$J10+($E10+$F10+$G10)*$K10)</f>
        <v/>
      </c>
      <c r="N10" s="20" t="n"/>
      <c r="O10" s="10" t="n"/>
      <c r="P10" s="10" t="n"/>
      <c r="Q10" s="29">
        <f>IF($A10="","",IF($P10="YES",IF($O10="Bob",$N10,-$N10),0))</f>
        <v/>
      </c>
      <c r="R10" s="30">
        <f>IF($A10="","",IF(ROUND($S10,2)&gt;0,"Olivia pays Bob "&amp;TEXT($S10,"#,##0.00"),IF(ROUND($S10,2)&lt;0,"Bob pays Olivia "&amp;TEXT(-$S10,"#,##0.00"),"Nothing owed")))</f>
        <v/>
      </c>
      <c r="S10" s="31">
        <f>IF($A10="","",$L10-$M10+$Q10)</f>
        <v/>
      </c>
    </row>
    <row r="11" ht="17" customHeight="1">
      <c r="A11" s="26" t="n"/>
      <c r="B11" s="27" t="n"/>
      <c r="C11" s="27" t="n"/>
      <c r="D11" s="27" t="n"/>
      <c r="E11" s="27" t="n"/>
      <c r="F11" s="27" t="n"/>
      <c r="G11" s="27" t="n"/>
      <c r="H11" s="28">
        <f>IF($A11="","",SUM($B11:$G11))</f>
        <v/>
      </c>
      <c r="I11" s="29">
        <f>IF($A11="","",Rates!$C$6)</f>
        <v/>
      </c>
      <c r="J11" s="29">
        <f>IF($A11="","",Rates!$C$7)</f>
        <v/>
      </c>
      <c r="K11" s="29">
        <f>IF($A11="","",Rates!$C$8)</f>
        <v/>
      </c>
      <c r="L11" s="29">
        <f>IF($A11="","",($B11+$C11)*$I11)</f>
        <v/>
      </c>
      <c r="M11" s="29">
        <f>IF($A11="","",$G11*$J11+($E11+$F11+$G11)*$K11)</f>
        <v/>
      </c>
      <c r="N11" s="20" t="n"/>
      <c r="O11" s="10" t="n"/>
      <c r="P11" s="10" t="n"/>
      <c r="Q11" s="29">
        <f>IF($A11="","",IF($P11="YES",IF($O11="Bob",$N11,-$N11),0))</f>
        <v/>
      </c>
      <c r="R11" s="30">
        <f>IF($A11="","",IF(ROUND($S11,2)&gt;0,"Olivia pays Bob "&amp;TEXT($S11,"#,##0.00"),IF(ROUND($S11,2)&lt;0,"Bob pays Olivia "&amp;TEXT(-$S11,"#,##0.00"),"Nothing owed")))</f>
        <v/>
      </c>
      <c r="S11" s="31">
        <f>IF($A11="","",$L11-$M11+$Q11)</f>
        <v/>
      </c>
    </row>
    <row r="12" ht="17" customHeight="1">
      <c r="A12" s="26" t="n"/>
      <c r="B12" s="27" t="n"/>
      <c r="C12" s="27" t="n"/>
      <c r="D12" s="27" t="n"/>
      <c r="E12" s="27" t="n"/>
      <c r="F12" s="27" t="n"/>
      <c r="G12" s="27" t="n"/>
      <c r="H12" s="28">
        <f>IF($A12="","",SUM($B12:$G12))</f>
        <v/>
      </c>
      <c r="I12" s="29">
        <f>IF($A12="","",Rates!$C$6)</f>
        <v/>
      </c>
      <c r="J12" s="29">
        <f>IF($A12="","",Rates!$C$7)</f>
        <v/>
      </c>
      <c r="K12" s="29">
        <f>IF($A12="","",Rates!$C$8)</f>
        <v/>
      </c>
      <c r="L12" s="29">
        <f>IF($A12="","",($B12+$C12)*$I12)</f>
        <v/>
      </c>
      <c r="M12" s="29">
        <f>IF($A12="","",$G12*$J12+($E12+$F12+$G12)*$K12)</f>
        <v/>
      </c>
      <c r="N12" s="20" t="n"/>
      <c r="O12" s="10" t="n"/>
      <c r="P12" s="10" t="n"/>
      <c r="Q12" s="29">
        <f>IF($A12="","",IF($P12="YES",IF($O12="Bob",$N12,-$N12),0))</f>
        <v/>
      </c>
      <c r="R12" s="30">
        <f>IF($A12="","",IF(ROUND($S12,2)&gt;0,"Olivia pays Bob "&amp;TEXT($S12,"#,##0.00"),IF(ROUND($S12,2)&lt;0,"Bob pays Olivia "&amp;TEXT(-$S12,"#,##0.00"),"Nothing owed")))</f>
        <v/>
      </c>
      <c r="S12" s="31">
        <f>IF($A12="","",$L12-$M12+$Q12)</f>
        <v/>
      </c>
    </row>
    <row r="13" ht="17" customHeight="1">
      <c r="A13" s="26" t="n"/>
      <c r="B13" s="27" t="n"/>
      <c r="C13" s="27" t="n"/>
      <c r="D13" s="27" t="n"/>
      <c r="E13" s="27" t="n"/>
      <c r="F13" s="27" t="n"/>
      <c r="G13" s="27" t="n"/>
      <c r="H13" s="28">
        <f>IF($A13="","",SUM($B13:$G13))</f>
        <v/>
      </c>
      <c r="I13" s="29">
        <f>IF($A13="","",Rates!$C$6)</f>
        <v/>
      </c>
      <c r="J13" s="29">
        <f>IF($A13="","",Rates!$C$7)</f>
        <v/>
      </c>
      <c r="K13" s="29">
        <f>IF($A13="","",Rates!$C$8)</f>
        <v/>
      </c>
      <c r="L13" s="29">
        <f>IF($A13="","",($B13+$C13)*$I13)</f>
        <v/>
      </c>
      <c r="M13" s="29">
        <f>IF($A13="","",$G13*$J13+($E13+$F13+$G13)*$K13)</f>
        <v/>
      </c>
      <c r="N13" s="20" t="n"/>
      <c r="O13" s="10" t="n"/>
      <c r="P13" s="10" t="n"/>
      <c r="Q13" s="29">
        <f>IF($A13="","",IF($P13="YES",IF($O13="Bob",$N13,-$N13),0))</f>
        <v/>
      </c>
      <c r="R13" s="30">
        <f>IF($A13="","",IF(ROUND($S13,2)&gt;0,"Olivia pays Bob "&amp;TEXT($S13,"#,##0.00"),IF(ROUND($S13,2)&lt;0,"Bob pays Olivia "&amp;TEXT(-$S13,"#,##0.00"),"Nothing owed")))</f>
        <v/>
      </c>
      <c r="S13" s="31">
        <f>IF($A13="","",$L13-$M13+$Q13)</f>
        <v/>
      </c>
    </row>
    <row r="14" ht="17" customHeight="1">
      <c r="A14" s="26" t="n"/>
      <c r="B14" s="27" t="n"/>
      <c r="C14" s="27" t="n"/>
      <c r="D14" s="27" t="n"/>
      <c r="E14" s="27" t="n"/>
      <c r="F14" s="27" t="n"/>
      <c r="G14" s="27" t="n"/>
      <c r="H14" s="28">
        <f>IF($A14="","",SUM($B14:$G14))</f>
        <v/>
      </c>
      <c r="I14" s="29">
        <f>IF($A14="","",Rates!$C$6)</f>
        <v/>
      </c>
      <c r="J14" s="29">
        <f>IF($A14="","",Rates!$C$7)</f>
        <v/>
      </c>
      <c r="K14" s="29">
        <f>IF($A14="","",Rates!$C$8)</f>
        <v/>
      </c>
      <c r="L14" s="29">
        <f>IF($A14="","",($B14+$C14)*$I14)</f>
        <v/>
      </c>
      <c r="M14" s="29">
        <f>IF($A14="","",$G14*$J14+($E14+$F14+$G14)*$K14)</f>
        <v/>
      </c>
      <c r="N14" s="20" t="n"/>
      <c r="O14" s="10" t="n"/>
      <c r="P14" s="10" t="n"/>
      <c r="Q14" s="29">
        <f>IF($A14="","",IF($P14="YES",IF($O14="Bob",$N14,-$N14),0))</f>
        <v/>
      </c>
      <c r="R14" s="30">
        <f>IF($A14="","",IF(ROUND($S14,2)&gt;0,"Olivia pays Bob "&amp;TEXT($S14,"#,##0.00"),IF(ROUND($S14,2)&lt;0,"Bob pays Olivia "&amp;TEXT(-$S14,"#,##0.00"),"Nothing owed")))</f>
        <v/>
      </c>
      <c r="S14" s="31">
        <f>IF($A14="","",$L14-$M14+$Q14)</f>
        <v/>
      </c>
    </row>
    <row r="15" ht="17" customHeight="1">
      <c r="A15" s="26" t="n"/>
      <c r="B15" s="27" t="n"/>
      <c r="C15" s="27" t="n"/>
      <c r="D15" s="27" t="n"/>
      <c r="E15" s="27" t="n"/>
      <c r="F15" s="27" t="n"/>
      <c r="G15" s="27" t="n"/>
      <c r="H15" s="28">
        <f>IF($A15="","",SUM($B15:$G15))</f>
        <v/>
      </c>
      <c r="I15" s="29">
        <f>IF($A15="","",Rates!$C$6)</f>
        <v/>
      </c>
      <c r="J15" s="29">
        <f>IF($A15="","",Rates!$C$7)</f>
        <v/>
      </c>
      <c r="K15" s="29">
        <f>IF($A15="","",Rates!$C$8)</f>
        <v/>
      </c>
      <c r="L15" s="29">
        <f>IF($A15="","",($B15+$C15)*$I15)</f>
        <v/>
      </c>
      <c r="M15" s="29">
        <f>IF($A15="","",$G15*$J15+($E15+$F15+$G15)*$K15)</f>
        <v/>
      </c>
      <c r="N15" s="20" t="n"/>
      <c r="O15" s="10" t="n"/>
      <c r="P15" s="10" t="n"/>
      <c r="Q15" s="29">
        <f>IF($A15="","",IF($P15="YES",IF($O15="Bob",$N15,-$N15),0))</f>
        <v/>
      </c>
      <c r="R15" s="30">
        <f>IF($A15="","",IF(ROUND($S15,2)&gt;0,"Olivia pays Bob "&amp;TEXT($S15,"#,##0.00"),IF(ROUND($S15,2)&lt;0,"Bob pays Olivia "&amp;TEXT(-$S15,"#,##0.00"),"Nothing owed")))</f>
        <v/>
      </c>
      <c r="S15" s="31">
        <f>IF($A15="","",$L15-$M15+$Q15)</f>
        <v/>
      </c>
    </row>
    <row r="16" ht="17" customHeight="1">
      <c r="A16" s="26" t="n"/>
      <c r="B16" s="27" t="n"/>
      <c r="C16" s="27" t="n"/>
      <c r="D16" s="27" t="n"/>
      <c r="E16" s="27" t="n"/>
      <c r="F16" s="27" t="n"/>
      <c r="G16" s="27" t="n"/>
      <c r="H16" s="28">
        <f>IF($A16="","",SUM($B16:$G16))</f>
        <v/>
      </c>
      <c r="I16" s="29">
        <f>IF($A16="","",Rates!$C$6)</f>
        <v/>
      </c>
      <c r="J16" s="29">
        <f>IF($A16="","",Rates!$C$7)</f>
        <v/>
      </c>
      <c r="K16" s="29">
        <f>IF($A16="","",Rates!$C$8)</f>
        <v/>
      </c>
      <c r="L16" s="29">
        <f>IF($A16="","",($B16+$C16)*$I16)</f>
        <v/>
      </c>
      <c r="M16" s="29">
        <f>IF($A16="","",$G16*$J16+($E16+$F16+$G16)*$K16)</f>
        <v/>
      </c>
      <c r="N16" s="20" t="n"/>
      <c r="O16" s="10" t="n"/>
      <c r="P16" s="10" t="n"/>
      <c r="Q16" s="29">
        <f>IF($A16="","",IF($P16="YES",IF($O16="Bob",$N16,-$N16),0))</f>
        <v/>
      </c>
      <c r="R16" s="30">
        <f>IF($A16="","",IF(ROUND($S16,2)&gt;0,"Olivia pays Bob "&amp;TEXT($S16,"#,##0.00"),IF(ROUND($S16,2)&lt;0,"Bob pays Olivia "&amp;TEXT(-$S16,"#,##0.00"),"Nothing owed")))</f>
        <v/>
      </c>
      <c r="S16" s="31">
        <f>IF($A16="","",$L16-$M16+$Q16)</f>
        <v/>
      </c>
    </row>
    <row r="17" ht="17" customHeight="1">
      <c r="A17" s="26" t="n"/>
      <c r="B17" s="27" t="n"/>
      <c r="C17" s="27" t="n"/>
      <c r="D17" s="27" t="n"/>
      <c r="E17" s="27" t="n"/>
      <c r="F17" s="27" t="n"/>
      <c r="G17" s="27" t="n"/>
      <c r="H17" s="28">
        <f>IF($A17="","",SUM($B17:$G17))</f>
        <v/>
      </c>
      <c r="I17" s="29">
        <f>IF($A17="","",Rates!$C$6)</f>
        <v/>
      </c>
      <c r="J17" s="29">
        <f>IF($A17="","",Rates!$C$7)</f>
        <v/>
      </c>
      <c r="K17" s="29">
        <f>IF($A17="","",Rates!$C$8)</f>
        <v/>
      </c>
      <c r="L17" s="29">
        <f>IF($A17="","",($B17+$C17)*$I17)</f>
        <v/>
      </c>
      <c r="M17" s="29">
        <f>IF($A17="","",$G17*$J17+($E17+$F17+$G17)*$K17)</f>
        <v/>
      </c>
      <c r="N17" s="20" t="n"/>
      <c r="O17" s="10" t="n"/>
      <c r="P17" s="10" t="n"/>
      <c r="Q17" s="29">
        <f>IF($A17="","",IF($P17="YES",IF($O17="Bob",$N17,-$N17),0))</f>
        <v/>
      </c>
      <c r="R17" s="30">
        <f>IF($A17="","",IF(ROUND($S17,2)&gt;0,"Olivia pays Bob "&amp;TEXT($S17,"#,##0.00"),IF(ROUND($S17,2)&lt;0,"Bob pays Olivia "&amp;TEXT(-$S17,"#,##0.00"),"Nothing owed")))</f>
        <v/>
      </c>
      <c r="S17" s="31">
        <f>IF($A17="","",$L17-$M17+$Q17)</f>
        <v/>
      </c>
    </row>
    <row r="18" ht="17" customHeight="1">
      <c r="A18" s="26" t="n"/>
      <c r="B18" s="27" t="n"/>
      <c r="C18" s="27" t="n"/>
      <c r="D18" s="27" t="n"/>
      <c r="E18" s="27" t="n"/>
      <c r="F18" s="27" t="n"/>
      <c r="G18" s="27" t="n"/>
      <c r="H18" s="28">
        <f>IF($A18="","",SUM($B18:$G18))</f>
        <v/>
      </c>
      <c r="I18" s="29">
        <f>IF($A18="","",Rates!$C$6)</f>
        <v/>
      </c>
      <c r="J18" s="29">
        <f>IF($A18="","",Rates!$C$7)</f>
        <v/>
      </c>
      <c r="K18" s="29">
        <f>IF($A18="","",Rates!$C$8)</f>
        <v/>
      </c>
      <c r="L18" s="29">
        <f>IF($A18="","",($B18+$C18)*$I18)</f>
        <v/>
      </c>
      <c r="M18" s="29">
        <f>IF($A18="","",$G18*$J18+($E18+$F18+$G18)*$K18)</f>
        <v/>
      </c>
      <c r="N18" s="20" t="n"/>
      <c r="O18" s="10" t="n"/>
      <c r="P18" s="10" t="n"/>
      <c r="Q18" s="29">
        <f>IF($A18="","",IF($P18="YES",IF($O18="Bob",$N18,-$N18),0))</f>
        <v/>
      </c>
      <c r="R18" s="30">
        <f>IF($A18="","",IF(ROUND($S18,2)&gt;0,"Olivia pays Bob "&amp;TEXT($S18,"#,##0.00"),IF(ROUND($S18,2)&lt;0,"Bob pays Olivia "&amp;TEXT(-$S18,"#,##0.00"),"Nothing owed")))</f>
        <v/>
      </c>
      <c r="S18" s="31">
        <f>IF($A18="","",$L18-$M18+$Q18)</f>
        <v/>
      </c>
    </row>
    <row r="19" ht="17" customHeight="1">
      <c r="A19" s="26" t="n"/>
      <c r="B19" s="27" t="n"/>
      <c r="C19" s="27" t="n"/>
      <c r="D19" s="27" t="n"/>
      <c r="E19" s="27" t="n"/>
      <c r="F19" s="27" t="n"/>
      <c r="G19" s="27" t="n"/>
      <c r="H19" s="28">
        <f>IF($A19="","",SUM($B19:$G19))</f>
        <v/>
      </c>
      <c r="I19" s="29">
        <f>IF($A19="","",Rates!$C$6)</f>
        <v/>
      </c>
      <c r="J19" s="29">
        <f>IF($A19="","",Rates!$C$7)</f>
        <v/>
      </c>
      <c r="K19" s="29">
        <f>IF($A19="","",Rates!$C$8)</f>
        <v/>
      </c>
      <c r="L19" s="29">
        <f>IF($A19="","",($B19+$C19)*$I19)</f>
        <v/>
      </c>
      <c r="M19" s="29">
        <f>IF($A19="","",$G19*$J19+($E19+$F19+$G19)*$K19)</f>
        <v/>
      </c>
      <c r="N19" s="20" t="n"/>
      <c r="O19" s="10" t="n"/>
      <c r="P19" s="10" t="n"/>
      <c r="Q19" s="29">
        <f>IF($A19="","",IF($P19="YES",IF($O19="Bob",$N19,-$N19),0))</f>
        <v/>
      </c>
      <c r="R19" s="30">
        <f>IF($A19="","",IF(ROUND($S19,2)&gt;0,"Olivia pays Bob "&amp;TEXT($S19,"#,##0.00"),IF(ROUND($S19,2)&lt;0,"Bob pays Olivia "&amp;TEXT(-$S19,"#,##0.00"),"Nothing owed")))</f>
        <v/>
      </c>
      <c r="S19" s="31">
        <f>IF($A19="","",$L19-$M19+$Q19)</f>
        <v/>
      </c>
    </row>
    <row r="20" ht="17" customHeight="1">
      <c r="A20" s="26" t="n"/>
      <c r="B20" s="27" t="n"/>
      <c r="C20" s="27" t="n"/>
      <c r="D20" s="27" t="n"/>
      <c r="E20" s="27" t="n"/>
      <c r="F20" s="27" t="n"/>
      <c r="G20" s="27" t="n"/>
      <c r="H20" s="28">
        <f>IF($A20="","",SUM($B20:$G20))</f>
        <v/>
      </c>
      <c r="I20" s="29">
        <f>IF($A20="","",Rates!$C$6)</f>
        <v/>
      </c>
      <c r="J20" s="29">
        <f>IF($A20="","",Rates!$C$7)</f>
        <v/>
      </c>
      <c r="K20" s="29">
        <f>IF($A20="","",Rates!$C$8)</f>
        <v/>
      </c>
      <c r="L20" s="29">
        <f>IF($A20="","",($B20+$C20)*$I20)</f>
        <v/>
      </c>
      <c r="M20" s="29">
        <f>IF($A20="","",$G20*$J20+($E20+$F20+$G20)*$K20)</f>
        <v/>
      </c>
      <c r="N20" s="20" t="n"/>
      <c r="O20" s="10" t="n"/>
      <c r="P20" s="10" t="n"/>
      <c r="Q20" s="29">
        <f>IF($A20="","",IF($P20="YES",IF($O20="Bob",$N20,-$N20),0))</f>
        <v/>
      </c>
      <c r="R20" s="30">
        <f>IF($A20="","",IF(ROUND($S20,2)&gt;0,"Olivia pays Bob "&amp;TEXT($S20,"#,##0.00"),IF(ROUND($S20,2)&lt;0,"Bob pays Olivia "&amp;TEXT(-$S20,"#,##0.00"),"Nothing owed")))</f>
        <v/>
      </c>
      <c r="S20" s="31">
        <f>IF($A20="","",$L20-$M20+$Q20)</f>
        <v/>
      </c>
    </row>
    <row r="21" ht="17" customHeight="1">
      <c r="A21" s="26" t="n"/>
      <c r="B21" s="27" t="n"/>
      <c r="C21" s="27" t="n"/>
      <c r="D21" s="27" t="n"/>
      <c r="E21" s="27" t="n"/>
      <c r="F21" s="27" t="n"/>
      <c r="G21" s="27" t="n"/>
      <c r="H21" s="28">
        <f>IF($A21="","",SUM($B21:$G21))</f>
        <v/>
      </c>
      <c r="I21" s="29">
        <f>IF($A21="","",Rates!$C$6)</f>
        <v/>
      </c>
      <c r="J21" s="29">
        <f>IF($A21="","",Rates!$C$7)</f>
        <v/>
      </c>
      <c r="K21" s="29">
        <f>IF($A21="","",Rates!$C$8)</f>
        <v/>
      </c>
      <c r="L21" s="29">
        <f>IF($A21="","",($B21+$C21)*$I21)</f>
        <v/>
      </c>
      <c r="M21" s="29">
        <f>IF($A21="","",$G21*$J21+($E21+$F21+$G21)*$K21)</f>
        <v/>
      </c>
      <c r="N21" s="20" t="n"/>
      <c r="O21" s="10" t="n"/>
      <c r="P21" s="10" t="n"/>
      <c r="Q21" s="29">
        <f>IF($A21="","",IF($P21="YES",IF($O21="Bob",$N21,-$N21),0))</f>
        <v/>
      </c>
      <c r="R21" s="30">
        <f>IF($A21="","",IF(ROUND($S21,2)&gt;0,"Olivia pays Bob "&amp;TEXT($S21,"#,##0.00"),IF(ROUND($S21,2)&lt;0,"Bob pays Olivia "&amp;TEXT(-$S21,"#,##0.00"),"Nothing owed")))</f>
        <v/>
      </c>
      <c r="S21" s="31">
        <f>IF($A21="","",$L21-$M21+$Q21)</f>
        <v/>
      </c>
    </row>
    <row r="22" ht="17" customHeight="1">
      <c r="A22" s="26" t="n"/>
      <c r="B22" s="27" t="n"/>
      <c r="C22" s="27" t="n"/>
      <c r="D22" s="27" t="n"/>
      <c r="E22" s="27" t="n"/>
      <c r="F22" s="27" t="n"/>
      <c r="G22" s="27" t="n"/>
      <c r="H22" s="28">
        <f>IF($A22="","",SUM($B22:$G22))</f>
        <v/>
      </c>
      <c r="I22" s="29">
        <f>IF($A22="","",Rates!$C$6)</f>
        <v/>
      </c>
      <c r="J22" s="29">
        <f>IF($A22="","",Rates!$C$7)</f>
        <v/>
      </c>
      <c r="K22" s="29">
        <f>IF($A22="","",Rates!$C$8)</f>
        <v/>
      </c>
      <c r="L22" s="29">
        <f>IF($A22="","",($B22+$C22)*$I22)</f>
        <v/>
      </c>
      <c r="M22" s="29">
        <f>IF($A22="","",$G22*$J22+($E22+$F22+$G22)*$K22)</f>
        <v/>
      </c>
      <c r="N22" s="20" t="n"/>
      <c r="O22" s="10" t="n"/>
      <c r="P22" s="10" t="n"/>
      <c r="Q22" s="29">
        <f>IF($A22="","",IF($P22="YES",IF($O22="Bob",$N22,-$N22),0))</f>
        <v/>
      </c>
      <c r="R22" s="30">
        <f>IF($A22="","",IF(ROUND($S22,2)&gt;0,"Olivia pays Bob "&amp;TEXT($S22,"#,##0.00"),IF(ROUND($S22,2)&lt;0,"Bob pays Olivia "&amp;TEXT(-$S22,"#,##0.00"),"Nothing owed")))</f>
        <v/>
      </c>
      <c r="S22" s="31">
        <f>IF($A22="","",$L22-$M22+$Q22)</f>
        <v/>
      </c>
    </row>
    <row r="23" ht="17" customHeight="1">
      <c r="A23" s="26" t="n"/>
      <c r="B23" s="27" t="n"/>
      <c r="C23" s="27" t="n"/>
      <c r="D23" s="27" t="n"/>
      <c r="E23" s="27" t="n"/>
      <c r="F23" s="27" t="n"/>
      <c r="G23" s="27" t="n"/>
      <c r="H23" s="28">
        <f>IF($A23="","",SUM($B23:$G23))</f>
        <v/>
      </c>
      <c r="I23" s="29">
        <f>IF($A23="","",Rates!$C$6)</f>
        <v/>
      </c>
      <c r="J23" s="29">
        <f>IF($A23="","",Rates!$C$7)</f>
        <v/>
      </c>
      <c r="K23" s="29">
        <f>IF($A23="","",Rates!$C$8)</f>
        <v/>
      </c>
      <c r="L23" s="29">
        <f>IF($A23="","",($B23+$C23)*$I23)</f>
        <v/>
      </c>
      <c r="M23" s="29">
        <f>IF($A23="","",$G23*$J23+($E23+$F23+$G23)*$K23)</f>
        <v/>
      </c>
      <c r="N23" s="20" t="n"/>
      <c r="O23" s="10" t="n"/>
      <c r="P23" s="10" t="n"/>
      <c r="Q23" s="29">
        <f>IF($A23="","",IF($P23="YES",IF($O23="Bob",$N23,-$N23),0))</f>
        <v/>
      </c>
      <c r="R23" s="30">
        <f>IF($A23="","",IF(ROUND($S23,2)&gt;0,"Olivia pays Bob "&amp;TEXT($S23,"#,##0.00"),IF(ROUND($S23,2)&lt;0,"Bob pays Olivia "&amp;TEXT(-$S23,"#,##0.00"),"Nothing owed")))</f>
        <v/>
      </c>
      <c r="S23" s="31">
        <f>IF($A23="","",$L23-$M23+$Q23)</f>
        <v/>
      </c>
    </row>
    <row r="24" ht="17" customHeight="1">
      <c r="A24" s="26" t="n"/>
      <c r="B24" s="27" t="n"/>
      <c r="C24" s="27" t="n"/>
      <c r="D24" s="27" t="n"/>
      <c r="E24" s="27" t="n"/>
      <c r="F24" s="27" t="n"/>
      <c r="G24" s="27" t="n"/>
      <c r="H24" s="28">
        <f>IF($A24="","",SUM($B24:$G24))</f>
        <v/>
      </c>
      <c r="I24" s="29">
        <f>IF($A24="","",Rates!$C$6)</f>
        <v/>
      </c>
      <c r="J24" s="29">
        <f>IF($A24="","",Rates!$C$7)</f>
        <v/>
      </c>
      <c r="K24" s="29">
        <f>IF($A24="","",Rates!$C$8)</f>
        <v/>
      </c>
      <c r="L24" s="29">
        <f>IF($A24="","",($B24+$C24)*$I24)</f>
        <v/>
      </c>
      <c r="M24" s="29">
        <f>IF($A24="","",$G24*$J24+($E24+$F24+$G24)*$K24)</f>
        <v/>
      </c>
      <c r="N24" s="20" t="n"/>
      <c r="O24" s="10" t="n"/>
      <c r="P24" s="10" t="n"/>
      <c r="Q24" s="29">
        <f>IF($A24="","",IF($P24="YES",IF($O24="Bob",$N24,-$N24),0))</f>
        <v/>
      </c>
      <c r="R24" s="30">
        <f>IF($A24="","",IF(ROUND($S24,2)&gt;0,"Olivia pays Bob "&amp;TEXT($S24,"#,##0.00"),IF(ROUND($S24,2)&lt;0,"Bob pays Olivia "&amp;TEXT(-$S24,"#,##0.00"),"Nothing owed")))</f>
        <v/>
      </c>
      <c r="S24" s="31">
        <f>IF($A24="","",$L24-$M24+$Q24)</f>
        <v/>
      </c>
    </row>
    <row r="25" ht="17" customHeight="1">
      <c r="A25" s="26" t="n"/>
      <c r="B25" s="27" t="n"/>
      <c r="C25" s="27" t="n"/>
      <c r="D25" s="27" t="n"/>
      <c r="E25" s="27" t="n"/>
      <c r="F25" s="27" t="n"/>
      <c r="G25" s="27" t="n"/>
      <c r="H25" s="28">
        <f>IF($A25="","",SUM($B25:$G25))</f>
        <v/>
      </c>
      <c r="I25" s="29">
        <f>IF($A25="","",Rates!$C$6)</f>
        <v/>
      </c>
      <c r="J25" s="29">
        <f>IF($A25="","",Rates!$C$7)</f>
        <v/>
      </c>
      <c r="K25" s="29">
        <f>IF($A25="","",Rates!$C$8)</f>
        <v/>
      </c>
      <c r="L25" s="29">
        <f>IF($A25="","",($B25+$C25)*$I25)</f>
        <v/>
      </c>
      <c r="M25" s="29">
        <f>IF($A25="","",$G25*$J25+($E25+$F25+$G25)*$K25)</f>
        <v/>
      </c>
      <c r="N25" s="20" t="n"/>
      <c r="O25" s="10" t="n"/>
      <c r="P25" s="10" t="n"/>
      <c r="Q25" s="29">
        <f>IF($A25="","",IF($P25="YES",IF($O25="Bob",$N25,-$N25),0))</f>
        <v/>
      </c>
      <c r="R25" s="30">
        <f>IF($A25="","",IF(ROUND($S25,2)&gt;0,"Olivia pays Bob "&amp;TEXT($S25,"#,##0.00"),IF(ROUND($S25,2)&lt;0,"Bob pays Olivia "&amp;TEXT(-$S25,"#,##0.00"),"Nothing owed")))</f>
        <v/>
      </c>
      <c r="S25" s="31">
        <f>IF($A25="","",$L25-$M25+$Q25)</f>
        <v/>
      </c>
    </row>
    <row r="26" ht="17" customHeight="1">
      <c r="A26" s="26" t="n"/>
      <c r="B26" s="27" t="n"/>
      <c r="C26" s="27" t="n"/>
      <c r="D26" s="27" t="n"/>
      <c r="E26" s="27" t="n"/>
      <c r="F26" s="27" t="n"/>
      <c r="G26" s="27" t="n"/>
      <c r="H26" s="28">
        <f>IF($A26="","",SUM($B26:$G26))</f>
        <v/>
      </c>
      <c r="I26" s="29">
        <f>IF($A26="","",Rates!$C$6)</f>
        <v/>
      </c>
      <c r="J26" s="29">
        <f>IF($A26="","",Rates!$C$7)</f>
        <v/>
      </c>
      <c r="K26" s="29">
        <f>IF($A26="","",Rates!$C$8)</f>
        <v/>
      </c>
      <c r="L26" s="29">
        <f>IF($A26="","",($B26+$C26)*$I26)</f>
        <v/>
      </c>
      <c r="M26" s="29">
        <f>IF($A26="","",$G26*$J26+($E26+$F26+$G26)*$K26)</f>
        <v/>
      </c>
      <c r="N26" s="20" t="n"/>
      <c r="O26" s="10" t="n"/>
      <c r="P26" s="10" t="n"/>
      <c r="Q26" s="29">
        <f>IF($A26="","",IF($P26="YES",IF($O26="Bob",$N26,-$N26),0))</f>
        <v/>
      </c>
      <c r="R26" s="30">
        <f>IF($A26="","",IF(ROUND($S26,2)&gt;0,"Olivia pays Bob "&amp;TEXT($S26,"#,##0.00"),IF(ROUND($S26,2)&lt;0,"Bob pays Olivia "&amp;TEXT(-$S26,"#,##0.00"),"Nothing owed")))</f>
        <v/>
      </c>
      <c r="S26" s="31">
        <f>IF($A26="","",$L26-$M26+$Q26)</f>
        <v/>
      </c>
    </row>
    <row r="27" ht="17" customHeight="1">
      <c r="A27" s="26" t="n"/>
      <c r="B27" s="27" t="n"/>
      <c r="C27" s="27" t="n"/>
      <c r="D27" s="27" t="n"/>
      <c r="E27" s="27" t="n"/>
      <c r="F27" s="27" t="n"/>
      <c r="G27" s="27" t="n"/>
      <c r="H27" s="28">
        <f>IF($A27="","",SUM($B27:$G27))</f>
        <v/>
      </c>
      <c r="I27" s="29">
        <f>IF($A27="","",Rates!$C$6)</f>
        <v/>
      </c>
      <c r="J27" s="29">
        <f>IF($A27="","",Rates!$C$7)</f>
        <v/>
      </c>
      <c r="K27" s="29">
        <f>IF($A27="","",Rates!$C$8)</f>
        <v/>
      </c>
      <c r="L27" s="29">
        <f>IF($A27="","",($B27+$C27)*$I27)</f>
        <v/>
      </c>
      <c r="M27" s="29">
        <f>IF($A27="","",$G27*$J27+($E27+$F27+$G27)*$K27)</f>
        <v/>
      </c>
      <c r="N27" s="20" t="n"/>
      <c r="O27" s="10" t="n"/>
      <c r="P27" s="10" t="n"/>
      <c r="Q27" s="29">
        <f>IF($A27="","",IF($P27="YES",IF($O27="Bob",$N27,-$N27),0))</f>
        <v/>
      </c>
      <c r="R27" s="30">
        <f>IF($A27="","",IF(ROUND($S27,2)&gt;0,"Olivia pays Bob "&amp;TEXT($S27,"#,##0.00"),IF(ROUND($S27,2)&lt;0,"Bob pays Olivia "&amp;TEXT(-$S27,"#,##0.00"),"Nothing owed")))</f>
        <v/>
      </c>
      <c r="S27" s="31">
        <f>IF($A27="","",$L27-$M27+$Q27)</f>
        <v/>
      </c>
    </row>
    <row r="28" ht="17" customHeight="1">
      <c r="A28" s="26" t="n"/>
      <c r="B28" s="27" t="n"/>
      <c r="C28" s="27" t="n"/>
      <c r="D28" s="27" t="n"/>
      <c r="E28" s="27" t="n"/>
      <c r="F28" s="27" t="n"/>
      <c r="G28" s="27" t="n"/>
      <c r="H28" s="28">
        <f>IF($A28="","",SUM($B28:$G28))</f>
        <v/>
      </c>
      <c r="I28" s="29">
        <f>IF($A28="","",Rates!$C$6)</f>
        <v/>
      </c>
      <c r="J28" s="29">
        <f>IF($A28="","",Rates!$C$7)</f>
        <v/>
      </c>
      <c r="K28" s="29">
        <f>IF($A28="","",Rates!$C$8)</f>
        <v/>
      </c>
      <c r="L28" s="29">
        <f>IF($A28="","",($B28+$C28)*$I28)</f>
        <v/>
      </c>
      <c r="M28" s="29">
        <f>IF($A28="","",$G28*$J28+($E28+$F28+$G28)*$K28)</f>
        <v/>
      </c>
      <c r="N28" s="20" t="n"/>
      <c r="O28" s="10" t="n"/>
      <c r="P28" s="10" t="n"/>
      <c r="Q28" s="29">
        <f>IF($A28="","",IF($P28="YES",IF($O28="Bob",$N28,-$N28),0))</f>
        <v/>
      </c>
      <c r="R28" s="30">
        <f>IF($A28="","",IF(ROUND($S28,2)&gt;0,"Olivia pays Bob "&amp;TEXT($S28,"#,##0.00"),IF(ROUND($S28,2)&lt;0,"Bob pays Olivia "&amp;TEXT(-$S28,"#,##0.00"),"Nothing owed")))</f>
        <v/>
      </c>
      <c r="S28" s="31">
        <f>IF($A28="","",$L28-$M28+$Q28)</f>
        <v/>
      </c>
    </row>
    <row r="29" ht="17" customHeight="1">
      <c r="A29" s="26" t="n"/>
      <c r="B29" s="27" t="n"/>
      <c r="C29" s="27" t="n"/>
      <c r="D29" s="27" t="n"/>
      <c r="E29" s="27" t="n"/>
      <c r="F29" s="27" t="n"/>
      <c r="G29" s="27" t="n"/>
      <c r="H29" s="28">
        <f>IF($A29="","",SUM($B29:$G29))</f>
        <v/>
      </c>
      <c r="I29" s="29">
        <f>IF($A29="","",Rates!$C$6)</f>
        <v/>
      </c>
      <c r="J29" s="29">
        <f>IF($A29="","",Rates!$C$7)</f>
        <v/>
      </c>
      <c r="K29" s="29">
        <f>IF($A29="","",Rates!$C$8)</f>
        <v/>
      </c>
      <c r="L29" s="29">
        <f>IF($A29="","",($B29+$C29)*$I29)</f>
        <v/>
      </c>
      <c r="M29" s="29">
        <f>IF($A29="","",$G29*$J29+($E29+$F29+$G29)*$K29)</f>
        <v/>
      </c>
      <c r="N29" s="20" t="n"/>
      <c r="O29" s="10" t="n"/>
      <c r="P29" s="10" t="n"/>
      <c r="Q29" s="29">
        <f>IF($A29="","",IF($P29="YES",IF($O29="Bob",$N29,-$N29),0))</f>
        <v/>
      </c>
      <c r="R29" s="30">
        <f>IF($A29="","",IF(ROUND($S29,2)&gt;0,"Olivia pays Bob "&amp;TEXT($S29,"#,##0.00"),IF(ROUND($S29,2)&lt;0,"Bob pays Olivia "&amp;TEXT(-$S29,"#,##0.00"),"Nothing owed")))</f>
        <v/>
      </c>
      <c r="S29" s="31">
        <f>IF($A29="","",$L29-$M29+$Q29)</f>
        <v/>
      </c>
    </row>
    <row r="30" ht="17" customHeight="1">
      <c r="A30" s="26" t="n"/>
      <c r="B30" s="27" t="n"/>
      <c r="C30" s="27" t="n"/>
      <c r="D30" s="27" t="n"/>
      <c r="E30" s="27" t="n"/>
      <c r="F30" s="27" t="n"/>
      <c r="G30" s="27" t="n"/>
      <c r="H30" s="28">
        <f>IF($A30="","",SUM($B30:$G30))</f>
        <v/>
      </c>
      <c r="I30" s="29">
        <f>IF($A30="","",Rates!$C$6)</f>
        <v/>
      </c>
      <c r="J30" s="29">
        <f>IF($A30="","",Rates!$C$7)</f>
        <v/>
      </c>
      <c r="K30" s="29">
        <f>IF($A30="","",Rates!$C$8)</f>
        <v/>
      </c>
      <c r="L30" s="29">
        <f>IF($A30="","",($B30+$C30)*$I30)</f>
        <v/>
      </c>
      <c r="M30" s="29">
        <f>IF($A30="","",$G30*$J30+($E30+$F30+$G30)*$K30)</f>
        <v/>
      </c>
      <c r="N30" s="20" t="n"/>
      <c r="O30" s="10" t="n"/>
      <c r="P30" s="10" t="n"/>
      <c r="Q30" s="29">
        <f>IF($A30="","",IF($P30="YES",IF($O30="Bob",$N30,-$N30),0))</f>
        <v/>
      </c>
      <c r="R30" s="30">
        <f>IF($A30="","",IF(ROUND($S30,2)&gt;0,"Olivia pays Bob "&amp;TEXT($S30,"#,##0.00"),IF(ROUND($S30,2)&lt;0,"Bob pays Olivia "&amp;TEXT(-$S30,"#,##0.00"),"Nothing owed")))</f>
        <v/>
      </c>
      <c r="S30" s="31">
        <f>IF($A30="","",$L30-$M30+$Q30)</f>
        <v/>
      </c>
    </row>
    <row r="31" ht="17" customHeight="1">
      <c r="A31" s="26" t="n"/>
      <c r="B31" s="27" t="n"/>
      <c r="C31" s="27" t="n"/>
      <c r="D31" s="27" t="n"/>
      <c r="E31" s="27" t="n"/>
      <c r="F31" s="27" t="n"/>
      <c r="G31" s="27" t="n"/>
      <c r="H31" s="28">
        <f>IF($A31="","",SUM($B31:$G31))</f>
        <v/>
      </c>
      <c r="I31" s="29">
        <f>IF($A31="","",Rates!$C$6)</f>
        <v/>
      </c>
      <c r="J31" s="29">
        <f>IF($A31="","",Rates!$C$7)</f>
        <v/>
      </c>
      <c r="K31" s="29">
        <f>IF($A31="","",Rates!$C$8)</f>
        <v/>
      </c>
      <c r="L31" s="29">
        <f>IF($A31="","",($B31+$C31)*$I31)</f>
        <v/>
      </c>
      <c r="M31" s="29">
        <f>IF($A31="","",$G31*$J31+($E31+$F31+$G31)*$K31)</f>
        <v/>
      </c>
      <c r="N31" s="20" t="n"/>
      <c r="O31" s="10" t="n"/>
      <c r="P31" s="10" t="n"/>
      <c r="Q31" s="29">
        <f>IF($A31="","",IF($P31="YES",IF($O31="Bob",$N31,-$N31),0))</f>
        <v/>
      </c>
      <c r="R31" s="30">
        <f>IF($A31="","",IF(ROUND($S31,2)&gt;0,"Olivia pays Bob "&amp;TEXT($S31,"#,##0.00"),IF(ROUND($S31,2)&lt;0,"Bob pays Olivia "&amp;TEXT(-$S31,"#,##0.00"),"Nothing owed")))</f>
        <v/>
      </c>
      <c r="S31" s="31">
        <f>IF($A31="","",$L31-$M31+$Q31)</f>
        <v/>
      </c>
    </row>
    <row r="32" ht="17" customHeight="1">
      <c r="A32" s="26" t="n"/>
      <c r="B32" s="27" t="n"/>
      <c r="C32" s="27" t="n"/>
      <c r="D32" s="27" t="n"/>
      <c r="E32" s="27" t="n"/>
      <c r="F32" s="27" t="n"/>
      <c r="G32" s="27" t="n"/>
      <c r="H32" s="28">
        <f>IF($A32="","",SUM($B32:$G32))</f>
        <v/>
      </c>
      <c r="I32" s="29">
        <f>IF($A32="","",Rates!$C$6)</f>
        <v/>
      </c>
      <c r="J32" s="29">
        <f>IF($A32="","",Rates!$C$7)</f>
        <v/>
      </c>
      <c r="K32" s="29">
        <f>IF($A32="","",Rates!$C$8)</f>
        <v/>
      </c>
      <c r="L32" s="29">
        <f>IF($A32="","",($B32+$C32)*$I32)</f>
        <v/>
      </c>
      <c r="M32" s="29">
        <f>IF($A32="","",$G32*$J32+($E32+$F32+$G32)*$K32)</f>
        <v/>
      </c>
      <c r="N32" s="20" t="n"/>
      <c r="O32" s="10" t="n"/>
      <c r="P32" s="10" t="n"/>
      <c r="Q32" s="29">
        <f>IF($A32="","",IF($P32="YES",IF($O32="Bob",$N32,-$N32),0))</f>
        <v/>
      </c>
      <c r="R32" s="30">
        <f>IF($A32="","",IF(ROUND($S32,2)&gt;0,"Olivia pays Bob "&amp;TEXT($S32,"#,##0.00"),IF(ROUND($S32,2)&lt;0,"Bob pays Olivia "&amp;TEXT(-$S32,"#,##0.00"),"Nothing owed")))</f>
        <v/>
      </c>
      <c r="S32" s="31">
        <f>IF($A32="","",$L32-$M32+$Q32)</f>
        <v/>
      </c>
    </row>
    <row r="33" ht="17" customHeight="1">
      <c r="A33" s="26" t="n"/>
      <c r="B33" s="27" t="n"/>
      <c r="C33" s="27" t="n"/>
      <c r="D33" s="27" t="n"/>
      <c r="E33" s="27" t="n"/>
      <c r="F33" s="27" t="n"/>
      <c r="G33" s="27" t="n"/>
      <c r="H33" s="28">
        <f>IF($A33="","",SUM($B33:$G33))</f>
        <v/>
      </c>
      <c r="I33" s="29">
        <f>IF($A33="","",Rates!$C$6)</f>
        <v/>
      </c>
      <c r="J33" s="29">
        <f>IF($A33="","",Rates!$C$7)</f>
        <v/>
      </c>
      <c r="K33" s="29">
        <f>IF($A33="","",Rates!$C$8)</f>
        <v/>
      </c>
      <c r="L33" s="29">
        <f>IF($A33="","",($B33+$C33)*$I33)</f>
        <v/>
      </c>
      <c r="M33" s="29">
        <f>IF($A33="","",$G33*$J33+($E33+$F33+$G33)*$K33)</f>
        <v/>
      </c>
      <c r="N33" s="20" t="n"/>
      <c r="O33" s="10" t="n"/>
      <c r="P33" s="10" t="n"/>
      <c r="Q33" s="29">
        <f>IF($A33="","",IF($P33="YES",IF($O33="Bob",$N33,-$N33),0))</f>
        <v/>
      </c>
      <c r="R33" s="30">
        <f>IF($A33="","",IF(ROUND($S33,2)&gt;0,"Olivia pays Bob "&amp;TEXT($S33,"#,##0.00"),IF(ROUND($S33,2)&lt;0,"Bob pays Olivia "&amp;TEXT(-$S33,"#,##0.00"),"Nothing owed")))</f>
        <v/>
      </c>
      <c r="S33" s="31">
        <f>IF($A33="","",$L33-$M33+$Q33)</f>
        <v/>
      </c>
    </row>
    <row r="34" ht="17" customHeight="1">
      <c r="A34" s="26" t="n"/>
      <c r="B34" s="27" t="n"/>
      <c r="C34" s="27" t="n"/>
      <c r="D34" s="27" t="n"/>
      <c r="E34" s="27" t="n"/>
      <c r="F34" s="27" t="n"/>
      <c r="G34" s="27" t="n"/>
      <c r="H34" s="28">
        <f>IF($A34="","",SUM($B34:$G34))</f>
        <v/>
      </c>
      <c r="I34" s="29">
        <f>IF($A34="","",Rates!$C$6)</f>
        <v/>
      </c>
      <c r="J34" s="29">
        <f>IF($A34="","",Rates!$C$7)</f>
        <v/>
      </c>
      <c r="K34" s="29">
        <f>IF($A34="","",Rates!$C$8)</f>
        <v/>
      </c>
      <c r="L34" s="29">
        <f>IF($A34="","",($B34+$C34)*$I34)</f>
        <v/>
      </c>
      <c r="M34" s="29">
        <f>IF($A34="","",$G34*$J34+($E34+$F34+$G34)*$K34)</f>
        <v/>
      </c>
      <c r="N34" s="20" t="n"/>
      <c r="O34" s="10" t="n"/>
      <c r="P34" s="10" t="n"/>
      <c r="Q34" s="29">
        <f>IF($A34="","",IF($P34="YES",IF($O34="Bob",$N34,-$N34),0))</f>
        <v/>
      </c>
      <c r="R34" s="30">
        <f>IF($A34="","",IF(ROUND($S34,2)&gt;0,"Olivia pays Bob "&amp;TEXT($S34,"#,##0.00"),IF(ROUND($S34,2)&lt;0,"Bob pays Olivia "&amp;TEXT(-$S34,"#,##0.00"),"Nothing owed")))</f>
        <v/>
      </c>
      <c r="S34" s="31">
        <f>IF($A34="","",$L34-$M34+$Q34)</f>
        <v/>
      </c>
    </row>
    <row r="35" ht="17" customHeight="1">
      <c r="A35" s="26" t="n"/>
      <c r="B35" s="27" t="n"/>
      <c r="C35" s="27" t="n"/>
      <c r="D35" s="27" t="n"/>
      <c r="E35" s="27" t="n"/>
      <c r="F35" s="27" t="n"/>
      <c r="G35" s="27" t="n"/>
      <c r="H35" s="28">
        <f>IF($A35="","",SUM($B35:$G35))</f>
        <v/>
      </c>
      <c r="I35" s="29">
        <f>IF($A35="","",Rates!$C$6)</f>
        <v/>
      </c>
      <c r="J35" s="29">
        <f>IF($A35="","",Rates!$C$7)</f>
        <v/>
      </c>
      <c r="K35" s="29">
        <f>IF($A35="","",Rates!$C$8)</f>
        <v/>
      </c>
      <c r="L35" s="29">
        <f>IF($A35="","",($B35+$C35)*$I35)</f>
        <v/>
      </c>
      <c r="M35" s="29">
        <f>IF($A35="","",$G35*$J35+($E35+$F35+$G35)*$K35)</f>
        <v/>
      </c>
      <c r="N35" s="20" t="n"/>
      <c r="O35" s="10" t="n"/>
      <c r="P35" s="10" t="n"/>
      <c r="Q35" s="29">
        <f>IF($A35="","",IF($P35="YES",IF($O35="Bob",$N35,-$N35),0))</f>
        <v/>
      </c>
      <c r="R35" s="30">
        <f>IF($A35="","",IF(ROUND($S35,2)&gt;0,"Olivia pays Bob "&amp;TEXT($S35,"#,##0.00"),IF(ROUND($S35,2)&lt;0,"Bob pays Olivia "&amp;TEXT(-$S35,"#,##0.00"),"Nothing owed")))</f>
        <v/>
      </c>
      <c r="S35" s="31">
        <f>IF($A35="","",$L35-$M35+$Q35)</f>
        <v/>
      </c>
    </row>
    <row r="36" ht="17" customHeight="1">
      <c r="A36" s="26" t="n"/>
      <c r="B36" s="27" t="n"/>
      <c r="C36" s="27" t="n"/>
      <c r="D36" s="27" t="n"/>
      <c r="E36" s="27" t="n"/>
      <c r="F36" s="27" t="n"/>
      <c r="G36" s="27" t="n"/>
      <c r="H36" s="28">
        <f>IF($A36="","",SUM($B36:$G36))</f>
        <v/>
      </c>
      <c r="I36" s="29">
        <f>IF($A36="","",Rates!$C$6)</f>
        <v/>
      </c>
      <c r="J36" s="29">
        <f>IF($A36="","",Rates!$C$7)</f>
        <v/>
      </c>
      <c r="K36" s="29">
        <f>IF($A36="","",Rates!$C$8)</f>
        <v/>
      </c>
      <c r="L36" s="29">
        <f>IF($A36="","",($B36+$C36)*$I36)</f>
        <v/>
      </c>
      <c r="M36" s="29">
        <f>IF($A36="","",$G36*$J36+($E36+$F36+$G36)*$K36)</f>
        <v/>
      </c>
      <c r="N36" s="20" t="n"/>
      <c r="O36" s="10" t="n"/>
      <c r="P36" s="10" t="n"/>
      <c r="Q36" s="29">
        <f>IF($A36="","",IF($P36="YES",IF($O36="Bob",$N36,-$N36),0))</f>
        <v/>
      </c>
      <c r="R36" s="30">
        <f>IF($A36="","",IF(ROUND($S36,2)&gt;0,"Olivia pays Bob "&amp;TEXT($S36,"#,##0.00"),IF(ROUND($S36,2)&lt;0,"Bob pays Olivia "&amp;TEXT(-$S36,"#,##0.00"),"Nothing owed")))</f>
        <v/>
      </c>
      <c r="S36" s="31">
        <f>IF($A36="","",$L36-$M36+$Q36)</f>
        <v/>
      </c>
    </row>
    <row r="37" ht="17" customHeight="1">
      <c r="A37" s="26" t="n"/>
      <c r="B37" s="27" t="n"/>
      <c r="C37" s="27" t="n"/>
      <c r="D37" s="27" t="n"/>
      <c r="E37" s="27" t="n"/>
      <c r="F37" s="27" t="n"/>
      <c r="G37" s="27" t="n"/>
      <c r="H37" s="28">
        <f>IF($A37="","",SUM($B37:$G37))</f>
        <v/>
      </c>
      <c r="I37" s="29">
        <f>IF($A37="","",Rates!$C$6)</f>
        <v/>
      </c>
      <c r="J37" s="29">
        <f>IF($A37="","",Rates!$C$7)</f>
        <v/>
      </c>
      <c r="K37" s="29">
        <f>IF($A37="","",Rates!$C$8)</f>
        <v/>
      </c>
      <c r="L37" s="29">
        <f>IF($A37="","",($B37+$C37)*$I37)</f>
        <v/>
      </c>
      <c r="M37" s="29">
        <f>IF($A37="","",$G37*$J37+($E37+$F37+$G37)*$K37)</f>
        <v/>
      </c>
      <c r="N37" s="20" t="n"/>
      <c r="O37" s="10" t="n"/>
      <c r="P37" s="10" t="n"/>
      <c r="Q37" s="29">
        <f>IF($A37="","",IF($P37="YES",IF($O37="Bob",$N37,-$N37),0))</f>
        <v/>
      </c>
      <c r="R37" s="30">
        <f>IF($A37="","",IF(ROUND($S37,2)&gt;0,"Olivia pays Bob "&amp;TEXT($S37,"#,##0.00"),IF(ROUND($S37,2)&lt;0,"Bob pays Olivia "&amp;TEXT(-$S37,"#,##0.00"),"Nothing owed")))</f>
        <v/>
      </c>
      <c r="S37" s="31">
        <f>IF($A37="","",$L37-$M37+$Q37)</f>
        <v/>
      </c>
    </row>
    <row r="38" ht="17" customHeight="1">
      <c r="A38" s="26" t="n"/>
      <c r="B38" s="27" t="n"/>
      <c r="C38" s="27" t="n"/>
      <c r="D38" s="27" t="n"/>
      <c r="E38" s="27" t="n"/>
      <c r="F38" s="27" t="n"/>
      <c r="G38" s="27" t="n"/>
      <c r="H38" s="28">
        <f>IF($A38="","",SUM($B38:$G38))</f>
        <v/>
      </c>
      <c r="I38" s="29">
        <f>IF($A38="","",Rates!$C$6)</f>
        <v/>
      </c>
      <c r="J38" s="29">
        <f>IF($A38="","",Rates!$C$7)</f>
        <v/>
      </c>
      <c r="K38" s="29">
        <f>IF($A38="","",Rates!$C$8)</f>
        <v/>
      </c>
      <c r="L38" s="29">
        <f>IF($A38="","",($B38+$C38)*$I38)</f>
        <v/>
      </c>
      <c r="M38" s="29">
        <f>IF($A38="","",$G38*$J38+($E38+$F38+$G38)*$K38)</f>
        <v/>
      </c>
      <c r="N38" s="20" t="n"/>
      <c r="O38" s="10" t="n"/>
      <c r="P38" s="10" t="n"/>
      <c r="Q38" s="29">
        <f>IF($A38="","",IF($P38="YES",IF($O38="Bob",$N38,-$N38),0))</f>
        <v/>
      </c>
      <c r="R38" s="30">
        <f>IF($A38="","",IF(ROUND($S38,2)&gt;0,"Olivia pays Bob "&amp;TEXT($S38,"#,##0.00"),IF(ROUND($S38,2)&lt;0,"Bob pays Olivia "&amp;TEXT(-$S38,"#,##0.00"),"Nothing owed")))</f>
        <v/>
      </c>
      <c r="S38" s="31">
        <f>IF($A38="","",$L38-$M38+$Q38)</f>
        <v/>
      </c>
    </row>
    <row r="39" ht="17" customHeight="1">
      <c r="A39" s="26" t="n"/>
      <c r="B39" s="27" t="n"/>
      <c r="C39" s="27" t="n"/>
      <c r="D39" s="27" t="n"/>
      <c r="E39" s="27" t="n"/>
      <c r="F39" s="27" t="n"/>
      <c r="G39" s="27" t="n"/>
      <c r="H39" s="28">
        <f>IF($A39="","",SUM($B39:$G39))</f>
        <v/>
      </c>
      <c r="I39" s="29">
        <f>IF($A39="","",Rates!$C$6)</f>
        <v/>
      </c>
      <c r="J39" s="29">
        <f>IF($A39="","",Rates!$C$7)</f>
        <v/>
      </c>
      <c r="K39" s="29">
        <f>IF($A39="","",Rates!$C$8)</f>
        <v/>
      </c>
      <c r="L39" s="29">
        <f>IF($A39="","",($B39+$C39)*$I39)</f>
        <v/>
      </c>
      <c r="M39" s="29">
        <f>IF($A39="","",$G39*$J39+($E39+$F39+$G39)*$K39)</f>
        <v/>
      </c>
      <c r="N39" s="20" t="n"/>
      <c r="O39" s="10" t="n"/>
      <c r="P39" s="10" t="n"/>
      <c r="Q39" s="29">
        <f>IF($A39="","",IF($P39="YES",IF($O39="Bob",$N39,-$N39),0))</f>
        <v/>
      </c>
      <c r="R39" s="30">
        <f>IF($A39="","",IF(ROUND($S39,2)&gt;0,"Olivia pays Bob "&amp;TEXT($S39,"#,##0.00"),IF(ROUND($S39,2)&lt;0,"Bob pays Olivia "&amp;TEXT(-$S39,"#,##0.00"),"Nothing owed")))</f>
        <v/>
      </c>
      <c r="S39" s="31">
        <f>IF($A39="","",$L39-$M39+$Q39)</f>
        <v/>
      </c>
    </row>
    <row r="40" ht="17" customHeight="1">
      <c r="A40" s="26" t="n"/>
      <c r="B40" s="27" t="n"/>
      <c r="C40" s="27" t="n"/>
      <c r="D40" s="27" t="n"/>
      <c r="E40" s="27" t="n"/>
      <c r="F40" s="27" t="n"/>
      <c r="G40" s="27" t="n"/>
      <c r="H40" s="28">
        <f>IF($A40="","",SUM($B40:$G40))</f>
        <v/>
      </c>
      <c r="I40" s="29">
        <f>IF($A40="","",Rates!$C$6)</f>
        <v/>
      </c>
      <c r="J40" s="29">
        <f>IF($A40="","",Rates!$C$7)</f>
        <v/>
      </c>
      <c r="K40" s="29">
        <f>IF($A40="","",Rates!$C$8)</f>
        <v/>
      </c>
      <c r="L40" s="29">
        <f>IF($A40="","",($B40+$C40)*$I40)</f>
        <v/>
      </c>
      <c r="M40" s="29">
        <f>IF($A40="","",$G40*$J40+($E40+$F40+$G40)*$K40)</f>
        <v/>
      </c>
      <c r="N40" s="20" t="n"/>
      <c r="O40" s="10" t="n"/>
      <c r="P40" s="10" t="n"/>
      <c r="Q40" s="29">
        <f>IF($A40="","",IF($P40="YES",IF($O40="Bob",$N40,-$N40),0))</f>
        <v/>
      </c>
      <c r="R40" s="30">
        <f>IF($A40="","",IF(ROUND($S40,2)&gt;0,"Olivia pays Bob "&amp;TEXT($S40,"#,##0.00"),IF(ROUND($S40,2)&lt;0,"Bob pays Olivia "&amp;TEXT(-$S40,"#,##0.00"),"Nothing owed")))</f>
        <v/>
      </c>
      <c r="S40" s="31">
        <f>IF($A40="","",$L40-$M40+$Q40)</f>
        <v/>
      </c>
    </row>
    <row r="41" ht="17" customHeight="1">
      <c r="A41" s="26" t="n"/>
      <c r="B41" s="27" t="n"/>
      <c r="C41" s="27" t="n"/>
      <c r="D41" s="27" t="n"/>
      <c r="E41" s="27" t="n"/>
      <c r="F41" s="27" t="n"/>
      <c r="G41" s="27" t="n"/>
      <c r="H41" s="28">
        <f>IF($A41="","",SUM($B41:$G41))</f>
        <v/>
      </c>
      <c r="I41" s="29">
        <f>IF($A41="","",Rates!$C$6)</f>
        <v/>
      </c>
      <c r="J41" s="29">
        <f>IF($A41="","",Rates!$C$7)</f>
        <v/>
      </c>
      <c r="K41" s="29">
        <f>IF($A41="","",Rates!$C$8)</f>
        <v/>
      </c>
      <c r="L41" s="29">
        <f>IF($A41="","",($B41+$C41)*$I41)</f>
        <v/>
      </c>
      <c r="M41" s="29">
        <f>IF($A41="","",$G41*$J41+($E41+$F41+$G41)*$K41)</f>
        <v/>
      </c>
      <c r="N41" s="20" t="n"/>
      <c r="O41" s="10" t="n"/>
      <c r="P41" s="10" t="n"/>
      <c r="Q41" s="29">
        <f>IF($A41="","",IF($P41="YES",IF($O41="Bob",$N41,-$N41),0))</f>
        <v/>
      </c>
      <c r="R41" s="30">
        <f>IF($A41="","",IF(ROUND($S41,2)&gt;0,"Olivia pays Bob "&amp;TEXT($S41,"#,##0.00"),IF(ROUND($S41,2)&lt;0,"Bob pays Olivia "&amp;TEXT(-$S41,"#,##0.00"),"Nothing owed")))</f>
        <v/>
      </c>
      <c r="S41" s="31">
        <f>IF($A41="","",$L41-$M41+$Q41)</f>
        <v/>
      </c>
    </row>
    <row r="42" ht="17" customHeight="1">
      <c r="A42" s="26" t="n"/>
      <c r="B42" s="27" t="n"/>
      <c r="C42" s="27" t="n"/>
      <c r="D42" s="27" t="n"/>
      <c r="E42" s="27" t="n"/>
      <c r="F42" s="27" t="n"/>
      <c r="G42" s="27" t="n"/>
      <c r="H42" s="28">
        <f>IF($A42="","",SUM($B42:$G42))</f>
        <v/>
      </c>
      <c r="I42" s="29">
        <f>IF($A42="","",Rates!$C$6)</f>
        <v/>
      </c>
      <c r="J42" s="29">
        <f>IF($A42="","",Rates!$C$7)</f>
        <v/>
      </c>
      <c r="K42" s="29">
        <f>IF($A42="","",Rates!$C$8)</f>
        <v/>
      </c>
      <c r="L42" s="29">
        <f>IF($A42="","",($B42+$C42)*$I42)</f>
        <v/>
      </c>
      <c r="M42" s="29">
        <f>IF($A42="","",$G42*$J42+($E42+$F42+$G42)*$K42)</f>
        <v/>
      </c>
      <c r="N42" s="20" t="n"/>
      <c r="O42" s="10" t="n"/>
      <c r="P42" s="10" t="n"/>
      <c r="Q42" s="29">
        <f>IF($A42="","",IF($P42="YES",IF($O42="Bob",$N42,-$N42),0))</f>
        <v/>
      </c>
      <c r="R42" s="30">
        <f>IF($A42="","",IF(ROUND($S42,2)&gt;0,"Olivia pays Bob "&amp;TEXT($S42,"#,##0.00"),IF(ROUND($S42,2)&lt;0,"Bob pays Olivia "&amp;TEXT(-$S42,"#,##0.00"),"Nothing owed")))</f>
        <v/>
      </c>
      <c r="S42" s="31">
        <f>IF($A42="","",$L42-$M42+$Q42)</f>
        <v/>
      </c>
    </row>
    <row r="43" ht="17" customHeight="1">
      <c r="A43" s="26" t="n"/>
      <c r="B43" s="27" t="n"/>
      <c r="C43" s="27" t="n"/>
      <c r="D43" s="27" t="n"/>
      <c r="E43" s="27" t="n"/>
      <c r="F43" s="27" t="n"/>
      <c r="G43" s="27" t="n"/>
      <c r="H43" s="28">
        <f>IF($A43="","",SUM($B43:$G43))</f>
        <v/>
      </c>
      <c r="I43" s="29">
        <f>IF($A43="","",Rates!$C$6)</f>
        <v/>
      </c>
      <c r="J43" s="29">
        <f>IF($A43="","",Rates!$C$7)</f>
        <v/>
      </c>
      <c r="K43" s="29">
        <f>IF($A43="","",Rates!$C$8)</f>
        <v/>
      </c>
      <c r="L43" s="29">
        <f>IF($A43="","",($B43+$C43)*$I43)</f>
        <v/>
      </c>
      <c r="M43" s="29">
        <f>IF($A43="","",$G43*$J43+($E43+$F43+$G43)*$K43)</f>
        <v/>
      </c>
      <c r="N43" s="20" t="n"/>
      <c r="O43" s="10" t="n"/>
      <c r="P43" s="10" t="n"/>
      <c r="Q43" s="29">
        <f>IF($A43="","",IF($P43="YES",IF($O43="Bob",$N43,-$N43),0))</f>
        <v/>
      </c>
      <c r="R43" s="30">
        <f>IF($A43="","",IF(ROUND($S43,2)&gt;0,"Olivia pays Bob "&amp;TEXT($S43,"#,##0.00"),IF(ROUND($S43,2)&lt;0,"Bob pays Olivia "&amp;TEXT(-$S43,"#,##0.00"),"Nothing owed")))</f>
        <v/>
      </c>
      <c r="S43" s="31">
        <f>IF($A43="","",$L43-$M43+$Q43)</f>
        <v/>
      </c>
    </row>
    <row r="44" ht="17" customHeight="1">
      <c r="A44" s="26" t="n"/>
      <c r="B44" s="27" t="n"/>
      <c r="C44" s="27" t="n"/>
      <c r="D44" s="27" t="n"/>
      <c r="E44" s="27" t="n"/>
      <c r="F44" s="27" t="n"/>
      <c r="G44" s="27" t="n"/>
      <c r="H44" s="28">
        <f>IF($A44="","",SUM($B44:$G44))</f>
        <v/>
      </c>
      <c r="I44" s="29">
        <f>IF($A44="","",Rates!$C$6)</f>
        <v/>
      </c>
      <c r="J44" s="29">
        <f>IF($A44="","",Rates!$C$7)</f>
        <v/>
      </c>
      <c r="K44" s="29">
        <f>IF($A44="","",Rates!$C$8)</f>
        <v/>
      </c>
      <c r="L44" s="29">
        <f>IF($A44="","",($B44+$C44)*$I44)</f>
        <v/>
      </c>
      <c r="M44" s="29">
        <f>IF($A44="","",$G44*$J44+($E44+$F44+$G44)*$K44)</f>
        <v/>
      </c>
      <c r="N44" s="20" t="n"/>
      <c r="O44" s="10" t="n"/>
      <c r="P44" s="10" t="n"/>
      <c r="Q44" s="29">
        <f>IF($A44="","",IF($P44="YES",IF($O44="Bob",$N44,-$N44),0))</f>
        <v/>
      </c>
      <c r="R44" s="30">
        <f>IF($A44="","",IF(ROUND($S44,2)&gt;0,"Olivia pays Bob "&amp;TEXT($S44,"#,##0.00"),IF(ROUND($S44,2)&lt;0,"Bob pays Olivia "&amp;TEXT(-$S44,"#,##0.00"),"Nothing owed")))</f>
        <v/>
      </c>
      <c r="S44" s="31">
        <f>IF($A44="","",$L44-$M44+$Q44)</f>
        <v/>
      </c>
    </row>
    <row r="45" ht="17" customHeight="1">
      <c r="A45" s="26" t="n"/>
      <c r="B45" s="27" t="n"/>
      <c r="C45" s="27" t="n"/>
      <c r="D45" s="27" t="n"/>
      <c r="E45" s="27" t="n"/>
      <c r="F45" s="27" t="n"/>
      <c r="G45" s="27" t="n"/>
      <c r="H45" s="28">
        <f>IF($A45="","",SUM($B45:$G45))</f>
        <v/>
      </c>
      <c r="I45" s="29">
        <f>IF($A45="","",Rates!$C$6)</f>
        <v/>
      </c>
      <c r="J45" s="29">
        <f>IF($A45="","",Rates!$C$7)</f>
        <v/>
      </c>
      <c r="K45" s="29">
        <f>IF($A45="","",Rates!$C$8)</f>
        <v/>
      </c>
      <c r="L45" s="29">
        <f>IF($A45="","",($B45+$C45)*$I45)</f>
        <v/>
      </c>
      <c r="M45" s="29">
        <f>IF($A45="","",$G45*$J45+($E45+$F45+$G45)*$K45)</f>
        <v/>
      </c>
      <c r="N45" s="20" t="n"/>
      <c r="O45" s="10" t="n"/>
      <c r="P45" s="10" t="n"/>
      <c r="Q45" s="29">
        <f>IF($A45="","",IF($P45="YES",IF($O45="Bob",$N45,-$N45),0))</f>
        <v/>
      </c>
      <c r="R45" s="30">
        <f>IF($A45="","",IF(ROUND($S45,2)&gt;0,"Olivia pays Bob "&amp;TEXT($S45,"#,##0.00"),IF(ROUND($S45,2)&lt;0,"Bob pays Olivia "&amp;TEXT(-$S45,"#,##0.00"),"Nothing owed")))</f>
        <v/>
      </c>
      <c r="S45" s="31">
        <f>IF($A45="","",$L45-$M45+$Q45)</f>
        <v/>
      </c>
    </row>
    <row r="46" ht="17" customHeight="1">
      <c r="A46" s="26" t="n"/>
      <c r="B46" s="27" t="n"/>
      <c r="C46" s="27" t="n"/>
      <c r="D46" s="27" t="n"/>
      <c r="E46" s="27" t="n"/>
      <c r="F46" s="27" t="n"/>
      <c r="G46" s="27" t="n"/>
      <c r="H46" s="28">
        <f>IF($A46="","",SUM($B46:$G46))</f>
        <v/>
      </c>
      <c r="I46" s="29">
        <f>IF($A46="","",Rates!$C$6)</f>
        <v/>
      </c>
      <c r="J46" s="29">
        <f>IF($A46="","",Rates!$C$7)</f>
        <v/>
      </c>
      <c r="K46" s="29">
        <f>IF($A46="","",Rates!$C$8)</f>
        <v/>
      </c>
      <c r="L46" s="29">
        <f>IF($A46="","",($B46+$C46)*$I46)</f>
        <v/>
      </c>
      <c r="M46" s="29">
        <f>IF($A46="","",$G46*$J46+($E46+$F46+$G46)*$K46)</f>
        <v/>
      </c>
      <c r="N46" s="20" t="n"/>
      <c r="O46" s="10" t="n"/>
      <c r="P46" s="10" t="n"/>
      <c r="Q46" s="29">
        <f>IF($A46="","",IF($P46="YES",IF($O46="Bob",$N46,-$N46),0))</f>
        <v/>
      </c>
      <c r="R46" s="30">
        <f>IF($A46="","",IF(ROUND($S46,2)&gt;0,"Olivia pays Bob "&amp;TEXT($S46,"#,##0.00"),IF(ROUND($S46,2)&lt;0,"Bob pays Olivia "&amp;TEXT(-$S46,"#,##0.00"),"Nothing owed")))</f>
        <v/>
      </c>
      <c r="S46" s="31">
        <f>IF($A46="","",$L46-$M46+$Q46)</f>
        <v/>
      </c>
    </row>
    <row r="47" ht="17" customHeight="1">
      <c r="A47" s="26" t="n"/>
      <c r="B47" s="27" t="n"/>
      <c r="C47" s="27" t="n"/>
      <c r="D47" s="27" t="n"/>
      <c r="E47" s="27" t="n"/>
      <c r="F47" s="27" t="n"/>
      <c r="G47" s="27" t="n"/>
      <c r="H47" s="28">
        <f>IF($A47="","",SUM($B47:$G47))</f>
        <v/>
      </c>
      <c r="I47" s="29">
        <f>IF($A47="","",Rates!$C$6)</f>
        <v/>
      </c>
      <c r="J47" s="29">
        <f>IF($A47="","",Rates!$C$7)</f>
        <v/>
      </c>
      <c r="K47" s="29">
        <f>IF($A47="","",Rates!$C$8)</f>
        <v/>
      </c>
      <c r="L47" s="29">
        <f>IF($A47="","",($B47+$C47)*$I47)</f>
        <v/>
      </c>
      <c r="M47" s="29">
        <f>IF($A47="","",$G47*$J47+($E47+$F47+$G47)*$K47)</f>
        <v/>
      </c>
      <c r="N47" s="20" t="n"/>
      <c r="O47" s="10" t="n"/>
      <c r="P47" s="10" t="n"/>
      <c r="Q47" s="29">
        <f>IF($A47="","",IF($P47="YES",IF($O47="Bob",$N47,-$N47),0))</f>
        <v/>
      </c>
      <c r="R47" s="30">
        <f>IF($A47="","",IF(ROUND($S47,2)&gt;0,"Olivia pays Bob "&amp;TEXT($S47,"#,##0.00"),IF(ROUND($S47,2)&lt;0,"Bob pays Olivia "&amp;TEXT(-$S47,"#,##0.00"),"Nothing owed")))</f>
        <v/>
      </c>
      <c r="S47" s="31">
        <f>IF($A47="","",$L47-$M47+$Q47)</f>
        <v/>
      </c>
    </row>
    <row r="48" ht="17" customHeight="1">
      <c r="A48" s="26" t="n"/>
      <c r="B48" s="27" t="n"/>
      <c r="C48" s="27" t="n"/>
      <c r="D48" s="27" t="n"/>
      <c r="E48" s="27" t="n"/>
      <c r="F48" s="27" t="n"/>
      <c r="G48" s="27" t="n"/>
      <c r="H48" s="28">
        <f>IF($A48="","",SUM($B48:$G48))</f>
        <v/>
      </c>
      <c r="I48" s="29">
        <f>IF($A48="","",Rates!$C$6)</f>
        <v/>
      </c>
      <c r="J48" s="29">
        <f>IF($A48="","",Rates!$C$7)</f>
        <v/>
      </c>
      <c r="K48" s="29">
        <f>IF($A48="","",Rates!$C$8)</f>
        <v/>
      </c>
      <c r="L48" s="29">
        <f>IF($A48="","",($B48+$C48)*$I48)</f>
        <v/>
      </c>
      <c r="M48" s="29">
        <f>IF($A48="","",$G48*$J48+($E48+$F48+$G48)*$K48)</f>
        <v/>
      </c>
      <c r="N48" s="20" t="n"/>
      <c r="O48" s="10" t="n"/>
      <c r="P48" s="10" t="n"/>
      <c r="Q48" s="29">
        <f>IF($A48="","",IF($P48="YES",IF($O48="Bob",$N48,-$N48),0))</f>
        <v/>
      </c>
      <c r="R48" s="30">
        <f>IF($A48="","",IF(ROUND($S48,2)&gt;0,"Olivia pays Bob "&amp;TEXT($S48,"#,##0.00"),IF(ROUND($S48,2)&lt;0,"Bob pays Olivia "&amp;TEXT(-$S48,"#,##0.00"),"Nothing owed")))</f>
        <v/>
      </c>
      <c r="S48" s="31">
        <f>IF($A48="","",$L48-$M48+$Q48)</f>
        <v/>
      </c>
    </row>
    <row r="49" ht="17" customHeight="1">
      <c r="A49" s="26" t="n"/>
      <c r="B49" s="27" t="n"/>
      <c r="C49" s="27" t="n"/>
      <c r="D49" s="27" t="n"/>
      <c r="E49" s="27" t="n"/>
      <c r="F49" s="27" t="n"/>
      <c r="G49" s="27" t="n"/>
      <c r="H49" s="28">
        <f>IF($A49="","",SUM($B49:$G49))</f>
        <v/>
      </c>
      <c r="I49" s="29">
        <f>IF($A49="","",Rates!$C$6)</f>
        <v/>
      </c>
      <c r="J49" s="29">
        <f>IF($A49="","",Rates!$C$7)</f>
        <v/>
      </c>
      <c r="K49" s="29">
        <f>IF($A49="","",Rates!$C$8)</f>
        <v/>
      </c>
      <c r="L49" s="29">
        <f>IF($A49="","",($B49+$C49)*$I49)</f>
        <v/>
      </c>
      <c r="M49" s="29">
        <f>IF($A49="","",$G49*$J49+($E49+$F49+$G49)*$K49)</f>
        <v/>
      </c>
      <c r="N49" s="20" t="n"/>
      <c r="O49" s="10" t="n"/>
      <c r="P49" s="10" t="n"/>
      <c r="Q49" s="29">
        <f>IF($A49="","",IF($P49="YES",IF($O49="Bob",$N49,-$N49),0))</f>
        <v/>
      </c>
      <c r="R49" s="30">
        <f>IF($A49="","",IF(ROUND($S49,2)&gt;0,"Olivia pays Bob "&amp;TEXT($S49,"#,##0.00"),IF(ROUND($S49,2)&lt;0,"Bob pays Olivia "&amp;TEXT(-$S49,"#,##0.00"),"Nothing owed")))</f>
        <v/>
      </c>
      <c r="S49" s="31">
        <f>IF($A49="","",$L49-$M49+$Q49)</f>
        <v/>
      </c>
    </row>
    <row r="50" ht="17" customHeight="1">
      <c r="A50" s="26" t="n"/>
      <c r="B50" s="27" t="n"/>
      <c r="C50" s="27" t="n"/>
      <c r="D50" s="27" t="n"/>
      <c r="E50" s="27" t="n"/>
      <c r="F50" s="27" t="n"/>
      <c r="G50" s="27" t="n"/>
      <c r="H50" s="28">
        <f>IF($A50="","",SUM($B50:$G50))</f>
        <v/>
      </c>
      <c r="I50" s="29">
        <f>IF($A50="","",Rates!$C$6)</f>
        <v/>
      </c>
      <c r="J50" s="29">
        <f>IF($A50="","",Rates!$C$7)</f>
        <v/>
      </c>
      <c r="K50" s="29">
        <f>IF($A50="","",Rates!$C$8)</f>
        <v/>
      </c>
      <c r="L50" s="29">
        <f>IF($A50="","",($B50+$C50)*$I50)</f>
        <v/>
      </c>
      <c r="M50" s="29">
        <f>IF($A50="","",$G50*$J50+($E50+$F50+$G50)*$K50)</f>
        <v/>
      </c>
      <c r="N50" s="20" t="n"/>
      <c r="O50" s="10" t="n"/>
      <c r="P50" s="10" t="n"/>
      <c r="Q50" s="29">
        <f>IF($A50="","",IF($P50="YES",IF($O50="Bob",$N50,-$N50),0))</f>
        <v/>
      </c>
      <c r="R50" s="30">
        <f>IF($A50="","",IF(ROUND($S50,2)&gt;0,"Olivia pays Bob "&amp;TEXT($S50,"#,##0.00"),IF(ROUND($S50,2)&lt;0,"Bob pays Olivia "&amp;TEXT(-$S50,"#,##0.00"),"Nothing owed")))</f>
        <v/>
      </c>
      <c r="S50" s="31">
        <f>IF($A50="","",$L50-$M50+$Q50)</f>
        <v/>
      </c>
    </row>
    <row r="51" ht="17" customHeight="1">
      <c r="A51" s="26" t="n"/>
      <c r="B51" s="27" t="n"/>
      <c r="C51" s="27" t="n"/>
      <c r="D51" s="27" t="n"/>
      <c r="E51" s="27" t="n"/>
      <c r="F51" s="27" t="n"/>
      <c r="G51" s="27" t="n"/>
      <c r="H51" s="28">
        <f>IF($A51="","",SUM($B51:$G51))</f>
        <v/>
      </c>
      <c r="I51" s="29">
        <f>IF($A51="","",Rates!$C$6)</f>
        <v/>
      </c>
      <c r="J51" s="29">
        <f>IF($A51="","",Rates!$C$7)</f>
        <v/>
      </c>
      <c r="K51" s="29">
        <f>IF($A51="","",Rates!$C$8)</f>
        <v/>
      </c>
      <c r="L51" s="29">
        <f>IF($A51="","",($B51+$C51)*$I51)</f>
        <v/>
      </c>
      <c r="M51" s="29">
        <f>IF($A51="","",$G51*$J51+($E51+$F51+$G51)*$K51)</f>
        <v/>
      </c>
      <c r="N51" s="20" t="n"/>
      <c r="O51" s="10" t="n"/>
      <c r="P51" s="10" t="n"/>
      <c r="Q51" s="29">
        <f>IF($A51="","",IF($P51="YES",IF($O51="Bob",$N51,-$N51),0))</f>
        <v/>
      </c>
      <c r="R51" s="30">
        <f>IF($A51="","",IF(ROUND($S51,2)&gt;0,"Olivia pays Bob "&amp;TEXT($S51,"#,##0.00"),IF(ROUND($S51,2)&lt;0,"Bob pays Olivia "&amp;TEXT(-$S51,"#,##0.00"),"Nothing owed")))</f>
        <v/>
      </c>
      <c r="S51" s="31">
        <f>IF($A51="","",$L51-$M51+$Q51)</f>
        <v/>
      </c>
    </row>
    <row r="52" ht="17" customHeight="1">
      <c r="A52" s="26" t="n"/>
      <c r="B52" s="27" t="n"/>
      <c r="C52" s="27" t="n"/>
      <c r="D52" s="27" t="n"/>
      <c r="E52" s="27" t="n"/>
      <c r="F52" s="27" t="n"/>
      <c r="G52" s="27" t="n"/>
      <c r="H52" s="28">
        <f>IF($A52="","",SUM($B52:$G52))</f>
        <v/>
      </c>
      <c r="I52" s="29">
        <f>IF($A52="","",Rates!$C$6)</f>
        <v/>
      </c>
      <c r="J52" s="29">
        <f>IF($A52="","",Rates!$C$7)</f>
        <v/>
      </c>
      <c r="K52" s="29">
        <f>IF($A52="","",Rates!$C$8)</f>
        <v/>
      </c>
      <c r="L52" s="29">
        <f>IF($A52="","",($B52+$C52)*$I52)</f>
        <v/>
      </c>
      <c r="M52" s="29">
        <f>IF($A52="","",$G52*$J52+($E52+$F52+$G52)*$K52)</f>
        <v/>
      </c>
      <c r="N52" s="20" t="n"/>
      <c r="O52" s="10" t="n"/>
      <c r="P52" s="10" t="n"/>
      <c r="Q52" s="29">
        <f>IF($A52="","",IF($P52="YES",IF($O52="Bob",$N52,-$N52),0))</f>
        <v/>
      </c>
      <c r="R52" s="30">
        <f>IF($A52="","",IF(ROUND($S52,2)&gt;0,"Olivia pays Bob "&amp;TEXT($S52,"#,##0.00"),IF(ROUND($S52,2)&lt;0,"Bob pays Olivia "&amp;TEXT(-$S52,"#,##0.00"),"Nothing owed")))</f>
        <v/>
      </c>
      <c r="S52" s="31">
        <f>IF($A52="","",$L52-$M52+$Q52)</f>
        <v/>
      </c>
    </row>
    <row r="53" ht="17" customHeight="1">
      <c r="A53" s="26" t="n"/>
      <c r="B53" s="27" t="n"/>
      <c r="C53" s="27" t="n"/>
      <c r="D53" s="27" t="n"/>
      <c r="E53" s="27" t="n"/>
      <c r="F53" s="27" t="n"/>
      <c r="G53" s="27" t="n"/>
      <c r="H53" s="28">
        <f>IF($A53="","",SUM($B53:$G53))</f>
        <v/>
      </c>
      <c r="I53" s="29">
        <f>IF($A53="","",Rates!$C$6)</f>
        <v/>
      </c>
      <c r="J53" s="29">
        <f>IF($A53="","",Rates!$C$7)</f>
        <v/>
      </c>
      <c r="K53" s="29">
        <f>IF($A53="","",Rates!$C$8)</f>
        <v/>
      </c>
      <c r="L53" s="29">
        <f>IF($A53="","",($B53+$C53)*$I53)</f>
        <v/>
      </c>
      <c r="M53" s="29">
        <f>IF($A53="","",$G53*$J53+($E53+$F53+$G53)*$K53)</f>
        <v/>
      </c>
      <c r="N53" s="20" t="n"/>
      <c r="O53" s="10" t="n"/>
      <c r="P53" s="10" t="n"/>
      <c r="Q53" s="29">
        <f>IF($A53="","",IF($P53="YES",IF($O53="Bob",$N53,-$N53),0))</f>
        <v/>
      </c>
      <c r="R53" s="30">
        <f>IF($A53="","",IF(ROUND($S53,2)&gt;0,"Olivia pays Bob "&amp;TEXT($S53,"#,##0.00"),IF(ROUND($S53,2)&lt;0,"Bob pays Olivia "&amp;TEXT(-$S53,"#,##0.00"),"Nothing owed")))</f>
        <v/>
      </c>
      <c r="S53" s="31">
        <f>IF($A53="","",$L53-$M53+$Q53)</f>
        <v/>
      </c>
    </row>
    <row r="54" ht="17" customHeight="1">
      <c r="A54" s="26" t="n"/>
      <c r="B54" s="27" t="n"/>
      <c r="C54" s="27" t="n"/>
      <c r="D54" s="27" t="n"/>
      <c r="E54" s="27" t="n"/>
      <c r="F54" s="27" t="n"/>
      <c r="G54" s="27" t="n"/>
      <c r="H54" s="28">
        <f>IF($A54="","",SUM($B54:$G54))</f>
        <v/>
      </c>
      <c r="I54" s="29">
        <f>IF($A54="","",Rates!$C$6)</f>
        <v/>
      </c>
      <c r="J54" s="29">
        <f>IF($A54="","",Rates!$C$7)</f>
        <v/>
      </c>
      <c r="K54" s="29">
        <f>IF($A54="","",Rates!$C$8)</f>
        <v/>
      </c>
      <c r="L54" s="29">
        <f>IF($A54="","",($B54+$C54)*$I54)</f>
        <v/>
      </c>
      <c r="M54" s="29">
        <f>IF($A54="","",$G54*$J54+($E54+$F54+$G54)*$K54)</f>
        <v/>
      </c>
      <c r="N54" s="20" t="n"/>
      <c r="O54" s="10" t="n"/>
      <c r="P54" s="10" t="n"/>
      <c r="Q54" s="29">
        <f>IF($A54="","",IF($P54="YES",IF($O54="Bob",$N54,-$N54),0))</f>
        <v/>
      </c>
      <c r="R54" s="30">
        <f>IF($A54="","",IF(ROUND($S54,2)&gt;0,"Olivia pays Bob "&amp;TEXT($S54,"#,##0.00"),IF(ROUND($S54,2)&lt;0,"Bob pays Olivia "&amp;TEXT(-$S54,"#,##0.00"),"Nothing owed")))</f>
        <v/>
      </c>
      <c r="S54" s="31">
        <f>IF($A54="","",$L54-$M54+$Q54)</f>
        <v/>
      </c>
    </row>
    <row r="55" ht="17" customHeight="1">
      <c r="A55" s="26" t="n"/>
      <c r="B55" s="27" t="n"/>
      <c r="C55" s="27" t="n"/>
      <c r="D55" s="27" t="n"/>
      <c r="E55" s="27" t="n"/>
      <c r="F55" s="27" t="n"/>
      <c r="G55" s="27" t="n"/>
      <c r="H55" s="28">
        <f>IF($A55="","",SUM($B55:$G55))</f>
        <v/>
      </c>
      <c r="I55" s="29">
        <f>IF($A55="","",Rates!$C$6)</f>
        <v/>
      </c>
      <c r="J55" s="29">
        <f>IF($A55="","",Rates!$C$7)</f>
        <v/>
      </c>
      <c r="K55" s="29">
        <f>IF($A55="","",Rates!$C$8)</f>
        <v/>
      </c>
      <c r="L55" s="29">
        <f>IF($A55="","",($B55+$C55)*$I55)</f>
        <v/>
      </c>
      <c r="M55" s="29">
        <f>IF($A55="","",$G55*$J55+($E55+$F55+$G55)*$K55)</f>
        <v/>
      </c>
      <c r="N55" s="20" t="n"/>
      <c r="O55" s="10" t="n"/>
      <c r="P55" s="10" t="n"/>
      <c r="Q55" s="29">
        <f>IF($A55="","",IF($P55="YES",IF($O55="Bob",$N55,-$N55),0))</f>
        <v/>
      </c>
      <c r="R55" s="30">
        <f>IF($A55="","",IF(ROUND($S55,2)&gt;0,"Olivia pays Bob "&amp;TEXT($S55,"#,##0.00"),IF(ROUND($S55,2)&lt;0,"Bob pays Olivia "&amp;TEXT(-$S55,"#,##0.00"),"Nothing owed")))</f>
        <v/>
      </c>
      <c r="S55" s="31">
        <f>IF($A55="","",$L55-$M55+$Q55)</f>
        <v/>
      </c>
    </row>
    <row r="56" ht="17" customHeight="1">
      <c r="A56" s="26" t="n"/>
      <c r="B56" s="27" t="n"/>
      <c r="C56" s="27" t="n"/>
      <c r="D56" s="27" t="n"/>
      <c r="E56" s="27" t="n"/>
      <c r="F56" s="27" t="n"/>
      <c r="G56" s="27" t="n"/>
      <c r="H56" s="28">
        <f>IF($A56="","",SUM($B56:$G56))</f>
        <v/>
      </c>
      <c r="I56" s="29">
        <f>IF($A56="","",Rates!$C$6)</f>
        <v/>
      </c>
      <c r="J56" s="29">
        <f>IF($A56="","",Rates!$C$7)</f>
        <v/>
      </c>
      <c r="K56" s="29">
        <f>IF($A56="","",Rates!$C$8)</f>
        <v/>
      </c>
      <c r="L56" s="29">
        <f>IF($A56="","",($B56+$C56)*$I56)</f>
        <v/>
      </c>
      <c r="M56" s="29">
        <f>IF($A56="","",$G56*$J56+($E56+$F56+$G56)*$K56)</f>
        <v/>
      </c>
      <c r="N56" s="20" t="n"/>
      <c r="O56" s="10" t="n"/>
      <c r="P56" s="10" t="n"/>
      <c r="Q56" s="29">
        <f>IF($A56="","",IF($P56="YES",IF($O56="Bob",$N56,-$N56),0))</f>
        <v/>
      </c>
      <c r="R56" s="30">
        <f>IF($A56="","",IF(ROUND($S56,2)&gt;0,"Olivia pays Bob "&amp;TEXT($S56,"#,##0.00"),IF(ROUND($S56,2)&lt;0,"Bob pays Olivia "&amp;TEXT(-$S56,"#,##0.00"),"Nothing owed")))</f>
        <v/>
      </c>
      <c r="S56" s="31">
        <f>IF($A56="","",$L56-$M56+$Q56)</f>
        <v/>
      </c>
    </row>
    <row r="57" ht="17" customHeight="1">
      <c r="A57" s="26" t="n"/>
      <c r="B57" s="27" t="n"/>
      <c r="C57" s="27" t="n"/>
      <c r="D57" s="27" t="n"/>
      <c r="E57" s="27" t="n"/>
      <c r="F57" s="27" t="n"/>
      <c r="G57" s="27" t="n"/>
      <c r="H57" s="28">
        <f>IF($A57="","",SUM($B57:$G57))</f>
        <v/>
      </c>
      <c r="I57" s="29">
        <f>IF($A57="","",Rates!$C$6)</f>
        <v/>
      </c>
      <c r="J57" s="29">
        <f>IF($A57="","",Rates!$C$7)</f>
        <v/>
      </c>
      <c r="K57" s="29">
        <f>IF($A57="","",Rates!$C$8)</f>
        <v/>
      </c>
      <c r="L57" s="29">
        <f>IF($A57="","",($B57+$C57)*$I57)</f>
        <v/>
      </c>
      <c r="M57" s="29">
        <f>IF($A57="","",$G57*$J57+($E57+$F57+$G57)*$K57)</f>
        <v/>
      </c>
      <c r="N57" s="20" t="n"/>
      <c r="O57" s="10" t="n"/>
      <c r="P57" s="10" t="n"/>
      <c r="Q57" s="29">
        <f>IF($A57="","",IF($P57="YES",IF($O57="Bob",$N57,-$N57),0))</f>
        <v/>
      </c>
      <c r="R57" s="30">
        <f>IF($A57="","",IF(ROUND($S57,2)&gt;0,"Olivia pays Bob "&amp;TEXT($S57,"#,##0.00"),IF(ROUND($S57,2)&lt;0,"Bob pays Olivia "&amp;TEXT(-$S57,"#,##0.00"),"Nothing owed")))</f>
        <v/>
      </c>
      <c r="S57" s="31">
        <f>IF($A57="","",$L57-$M57+$Q57)</f>
        <v/>
      </c>
    </row>
    <row r="58" ht="17" customHeight="1">
      <c r="A58" s="26" t="n"/>
      <c r="B58" s="27" t="n"/>
      <c r="C58" s="27" t="n"/>
      <c r="D58" s="27" t="n"/>
      <c r="E58" s="27" t="n"/>
      <c r="F58" s="27" t="n"/>
      <c r="G58" s="27" t="n"/>
      <c r="H58" s="28">
        <f>IF($A58="","",SUM($B58:$G58))</f>
        <v/>
      </c>
      <c r="I58" s="29">
        <f>IF($A58="","",Rates!$C$6)</f>
        <v/>
      </c>
      <c r="J58" s="29">
        <f>IF($A58="","",Rates!$C$7)</f>
        <v/>
      </c>
      <c r="K58" s="29">
        <f>IF($A58="","",Rates!$C$8)</f>
        <v/>
      </c>
      <c r="L58" s="29">
        <f>IF($A58="","",($B58+$C58)*$I58)</f>
        <v/>
      </c>
      <c r="M58" s="29">
        <f>IF($A58="","",$G58*$J58+($E58+$F58+$G58)*$K58)</f>
        <v/>
      </c>
      <c r="N58" s="20" t="n"/>
      <c r="O58" s="10" t="n"/>
      <c r="P58" s="10" t="n"/>
      <c r="Q58" s="29">
        <f>IF($A58="","",IF($P58="YES",IF($O58="Bob",$N58,-$N58),0))</f>
        <v/>
      </c>
      <c r="R58" s="30">
        <f>IF($A58="","",IF(ROUND($S58,2)&gt;0,"Olivia pays Bob "&amp;TEXT($S58,"#,##0.00"),IF(ROUND($S58,2)&lt;0,"Bob pays Olivia "&amp;TEXT(-$S58,"#,##0.00"),"Nothing owed")))</f>
        <v/>
      </c>
      <c r="S58" s="31">
        <f>IF($A58="","",$L58-$M58+$Q58)</f>
        <v/>
      </c>
    </row>
    <row r="59" ht="17" customHeight="1">
      <c r="A59" s="26" t="n"/>
      <c r="B59" s="27" t="n"/>
      <c r="C59" s="27" t="n"/>
      <c r="D59" s="27" t="n"/>
      <c r="E59" s="27" t="n"/>
      <c r="F59" s="27" t="n"/>
      <c r="G59" s="27" t="n"/>
      <c r="H59" s="28">
        <f>IF($A59="","",SUM($B59:$G59))</f>
        <v/>
      </c>
      <c r="I59" s="29">
        <f>IF($A59="","",Rates!$C$6)</f>
        <v/>
      </c>
      <c r="J59" s="29">
        <f>IF($A59="","",Rates!$C$7)</f>
        <v/>
      </c>
      <c r="K59" s="29">
        <f>IF($A59="","",Rates!$C$8)</f>
        <v/>
      </c>
      <c r="L59" s="29">
        <f>IF($A59="","",($B59+$C59)*$I59)</f>
        <v/>
      </c>
      <c r="M59" s="29">
        <f>IF($A59="","",$G59*$J59+($E59+$F59+$G59)*$K59)</f>
        <v/>
      </c>
      <c r="N59" s="20" t="n"/>
      <c r="O59" s="10" t="n"/>
      <c r="P59" s="10" t="n"/>
      <c r="Q59" s="29">
        <f>IF($A59="","",IF($P59="YES",IF($O59="Bob",$N59,-$N59),0))</f>
        <v/>
      </c>
      <c r="R59" s="30">
        <f>IF($A59="","",IF(ROUND($S59,2)&gt;0,"Olivia pays Bob "&amp;TEXT($S59,"#,##0.00"),IF(ROUND($S59,2)&lt;0,"Bob pays Olivia "&amp;TEXT(-$S59,"#,##0.00"),"Nothing owed")))</f>
        <v/>
      </c>
      <c r="S59" s="31">
        <f>IF($A59="","",$L59-$M59+$Q59)</f>
        <v/>
      </c>
    </row>
    <row r="60" ht="17" customHeight="1">
      <c r="A60" s="26" t="n"/>
      <c r="B60" s="27" t="n"/>
      <c r="C60" s="27" t="n"/>
      <c r="D60" s="27" t="n"/>
      <c r="E60" s="27" t="n"/>
      <c r="F60" s="27" t="n"/>
      <c r="G60" s="27" t="n"/>
      <c r="H60" s="28">
        <f>IF($A60="","",SUM($B60:$G60))</f>
        <v/>
      </c>
      <c r="I60" s="29">
        <f>IF($A60="","",Rates!$C$6)</f>
        <v/>
      </c>
      <c r="J60" s="29">
        <f>IF($A60="","",Rates!$C$7)</f>
        <v/>
      </c>
      <c r="K60" s="29">
        <f>IF($A60="","",Rates!$C$8)</f>
        <v/>
      </c>
      <c r="L60" s="29">
        <f>IF($A60="","",($B60+$C60)*$I60)</f>
        <v/>
      </c>
      <c r="M60" s="29">
        <f>IF($A60="","",$G60*$J60+($E60+$F60+$G60)*$K60)</f>
        <v/>
      </c>
      <c r="N60" s="20" t="n"/>
      <c r="O60" s="10" t="n"/>
      <c r="P60" s="10" t="n"/>
      <c r="Q60" s="29">
        <f>IF($A60="","",IF($P60="YES",IF($O60="Bob",$N60,-$N60),0))</f>
        <v/>
      </c>
      <c r="R60" s="30">
        <f>IF($A60="","",IF(ROUND($S60,2)&gt;0,"Olivia pays Bob "&amp;TEXT($S60,"#,##0.00"),IF(ROUND($S60,2)&lt;0,"Bob pays Olivia "&amp;TEXT(-$S60,"#,##0.00"),"Nothing owed")))</f>
        <v/>
      </c>
      <c r="S60" s="31">
        <f>IF($A60="","",$L60-$M60+$Q60)</f>
        <v/>
      </c>
    </row>
    <row r="61" ht="17" customHeight="1">
      <c r="A61" s="26" t="n"/>
      <c r="B61" s="27" t="n"/>
      <c r="C61" s="27" t="n"/>
      <c r="D61" s="27" t="n"/>
      <c r="E61" s="27" t="n"/>
      <c r="F61" s="27" t="n"/>
      <c r="G61" s="27" t="n"/>
      <c r="H61" s="28">
        <f>IF($A61="","",SUM($B61:$G61))</f>
        <v/>
      </c>
      <c r="I61" s="29">
        <f>IF($A61="","",Rates!$C$6)</f>
        <v/>
      </c>
      <c r="J61" s="29">
        <f>IF($A61="","",Rates!$C$7)</f>
        <v/>
      </c>
      <c r="K61" s="29">
        <f>IF($A61="","",Rates!$C$8)</f>
        <v/>
      </c>
      <c r="L61" s="29">
        <f>IF($A61="","",($B61+$C61)*$I61)</f>
        <v/>
      </c>
      <c r="M61" s="29">
        <f>IF($A61="","",$G61*$J61+($E61+$F61+$G61)*$K61)</f>
        <v/>
      </c>
      <c r="N61" s="20" t="n"/>
      <c r="O61" s="10" t="n"/>
      <c r="P61" s="10" t="n"/>
      <c r="Q61" s="29">
        <f>IF($A61="","",IF($P61="YES",IF($O61="Bob",$N61,-$N61),0))</f>
        <v/>
      </c>
      <c r="R61" s="30">
        <f>IF($A61="","",IF(ROUND($S61,2)&gt;0,"Olivia pays Bob "&amp;TEXT($S61,"#,##0.00"),IF(ROUND($S61,2)&lt;0,"Bob pays Olivia "&amp;TEXT(-$S61,"#,##0.00"),"Nothing owed")))</f>
        <v/>
      </c>
      <c r="S61" s="31">
        <f>IF($A61="","",$L61-$M61+$Q61)</f>
        <v/>
      </c>
    </row>
    <row r="62" ht="17" customHeight="1">
      <c r="A62" s="26" t="n"/>
      <c r="B62" s="27" t="n"/>
      <c r="C62" s="27" t="n"/>
      <c r="D62" s="27" t="n"/>
      <c r="E62" s="27" t="n"/>
      <c r="F62" s="27" t="n"/>
      <c r="G62" s="27" t="n"/>
      <c r="H62" s="28">
        <f>IF($A62="","",SUM($B62:$G62))</f>
        <v/>
      </c>
      <c r="I62" s="29">
        <f>IF($A62="","",Rates!$C$6)</f>
        <v/>
      </c>
      <c r="J62" s="29">
        <f>IF($A62="","",Rates!$C$7)</f>
        <v/>
      </c>
      <c r="K62" s="29">
        <f>IF($A62="","",Rates!$C$8)</f>
        <v/>
      </c>
      <c r="L62" s="29">
        <f>IF($A62="","",($B62+$C62)*$I62)</f>
        <v/>
      </c>
      <c r="M62" s="29">
        <f>IF($A62="","",$G62*$J62+($E62+$F62+$G62)*$K62)</f>
        <v/>
      </c>
      <c r="N62" s="20" t="n"/>
      <c r="O62" s="10" t="n"/>
      <c r="P62" s="10" t="n"/>
      <c r="Q62" s="29">
        <f>IF($A62="","",IF($P62="YES",IF($O62="Bob",$N62,-$N62),0))</f>
        <v/>
      </c>
      <c r="R62" s="30">
        <f>IF($A62="","",IF(ROUND($S62,2)&gt;0,"Olivia pays Bob "&amp;TEXT($S62,"#,##0.00"),IF(ROUND($S62,2)&lt;0,"Bob pays Olivia "&amp;TEXT(-$S62,"#,##0.00"),"Nothing owed")))</f>
        <v/>
      </c>
      <c r="S62" s="31">
        <f>IF($A62="","",$L62-$M62+$Q62)</f>
        <v/>
      </c>
    </row>
    <row r="63" ht="17" customHeight="1">
      <c r="A63" s="26" t="n"/>
      <c r="B63" s="27" t="n"/>
      <c r="C63" s="27" t="n"/>
      <c r="D63" s="27" t="n"/>
      <c r="E63" s="27" t="n"/>
      <c r="F63" s="27" t="n"/>
      <c r="G63" s="27" t="n"/>
      <c r="H63" s="28">
        <f>IF($A63="","",SUM($B63:$G63))</f>
        <v/>
      </c>
      <c r="I63" s="29">
        <f>IF($A63="","",Rates!$C$6)</f>
        <v/>
      </c>
      <c r="J63" s="29">
        <f>IF($A63="","",Rates!$C$7)</f>
        <v/>
      </c>
      <c r="K63" s="29">
        <f>IF($A63="","",Rates!$C$8)</f>
        <v/>
      </c>
      <c r="L63" s="29">
        <f>IF($A63="","",($B63+$C63)*$I63)</f>
        <v/>
      </c>
      <c r="M63" s="29">
        <f>IF($A63="","",$G63*$J63+($E63+$F63+$G63)*$K63)</f>
        <v/>
      </c>
      <c r="N63" s="20" t="n"/>
      <c r="O63" s="10" t="n"/>
      <c r="P63" s="10" t="n"/>
      <c r="Q63" s="29">
        <f>IF($A63="","",IF($P63="YES",IF($O63="Bob",$N63,-$N63),0))</f>
        <v/>
      </c>
      <c r="R63" s="30">
        <f>IF($A63="","",IF(ROUND($S63,2)&gt;0,"Olivia pays Bob "&amp;TEXT($S63,"#,##0.00"),IF(ROUND($S63,2)&lt;0,"Bob pays Olivia "&amp;TEXT(-$S63,"#,##0.00"),"Nothing owed")))</f>
        <v/>
      </c>
      <c r="S63" s="31">
        <f>IF($A63="","",$L63-$M63+$Q63)</f>
        <v/>
      </c>
    </row>
    <row r="64" ht="17" customHeight="1">
      <c r="A64" s="26" t="n"/>
      <c r="B64" s="27" t="n"/>
      <c r="C64" s="27" t="n"/>
      <c r="D64" s="27" t="n"/>
      <c r="E64" s="27" t="n"/>
      <c r="F64" s="27" t="n"/>
      <c r="G64" s="27" t="n"/>
      <c r="H64" s="28">
        <f>IF($A64="","",SUM($B64:$G64))</f>
        <v/>
      </c>
      <c r="I64" s="29">
        <f>IF($A64="","",Rates!$C$6)</f>
        <v/>
      </c>
      <c r="J64" s="29">
        <f>IF($A64="","",Rates!$C$7)</f>
        <v/>
      </c>
      <c r="K64" s="29">
        <f>IF($A64="","",Rates!$C$8)</f>
        <v/>
      </c>
      <c r="L64" s="29">
        <f>IF($A64="","",($B64+$C64)*$I64)</f>
        <v/>
      </c>
      <c r="M64" s="29">
        <f>IF($A64="","",$G64*$J64+($E64+$F64+$G64)*$K64)</f>
        <v/>
      </c>
      <c r="N64" s="20" t="n"/>
      <c r="O64" s="10" t="n"/>
      <c r="P64" s="10" t="n"/>
      <c r="Q64" s="29">
        <f>IF($A64="","",IF($P64="YES",IF($O64="Bob",$N64,-$N64),0))</f>
        <v/>
      </c>
      <c r="R64" s="30">
        <f>IF($A64="","",IF(ROUND($S64,2)&gt;0,"Olivia pays Bob "&amp;TEXT($S64,"#,##0.00"),IF(ROUND($S64,2)&lt;0,"Bob pays Olivia "&amp;TEXT(-$S64,"#,##0.00"),"Nothing owed")))</f>
        <v/>
      </c>
      <c r="S64" s="31">
        <f>IF($A64="","",$L64-$M64+$Q64)</f>
        <v/>
      </c>
    </row>
    <row r="65" ht="17" customHeight="1">
      <c r="A65" s="26" t="n"/>
      <c r="B65" s="27" t="n"/>
      <c r="C65" s="27" t="n"/>
      <c r="D65" s="27" t="n"/>
      <c r="E65" s="27" t="n"/>
      <c r="F65" s="27" t="n"/>
      <c r="G65" s="27" t="n"/>
      <c r="H65" s="28">
        <f>IF($A65="","",SUM($B65:$G65))</f>
        <v/>
      </c>
      <c r="I65" s="29">
        <f>IF($A65="","",Rates!$C$6)</f>
        <v/>
      </c>
      <c r="J65" s="29">
        <f>IF($A65="","",Rates!$C$7)</f>
        <v/>
      </c>
      <c r="K65" s="29">
        <f>IF($A65="","",Rates!$C$8)</f>
        <v/>
      </c>
      <c r="L65" s="29">
        <f>IF($A65="","",($B65+$C65)*$I65)</f>
        <v/>
      </c>
      <c r="M65" s="29">
        <f>IF($A65="","",$G65*$J65+($E65+$F65+$G65)*$K65)</f>
        <v/>
      </c>
      <c r="N65" s="20" t="n"/>
      <c r="O65" s="10" t="n"/>
      <c r="P65" s="10" t="n"/>
      <c r="Q65" s="29">
        <f>IF($A65="","",IF($P65="YES",IF($O65="Bob",$N65,-$N65),0))</f>
        <v/>
      </c>
      <c r="R65" s="30">
        <f>IF($A65="","",IF(ROUND($S65,2)&gt;0,"Olivia pays Bob "&amp;TEXT($S65,"#,##0.00"),IF(ROUND($S65,2)&lt;0,"Bob pays Olivia "&amp;TEXT(-$S65,"#,##0.00"),"Nothing owed")))</f>
        <v/>
      </c>
      <c r="S65" s="31">
        <f>IF($A65="","",$L65-$M65+$Q65)</f>
        <v/>
      </c>
    </row>
    <row r="66" ht="17" customHeight="1">
      <c r="A66" s="26" t="n"/>
      <c r="B66" s="27" t="n"/>
      <c r="C66" s="27" t="n"/>
      <c r="D66" s="27" t="n"/>
      <c r="E66" s="27" t="n"/>
      <c r="F66" s="27" t="n"/>
      <c r="G66" s="27" t="n"/>
      <c r="H66" s="28">
        <f>IF($A66="","",SUM($B66:$G66))</f>
        <v/>
      </c>
      <c r="I66" s="29">
        <f>IF($A66="","",Rates!$C$6)</f>
        <v/>
      </c>
      <c r="J66" s="29">
        <f>IF($A66="","",Rates!$C$7)</f>
        <v/>
      </c>
      <c r="K66" s="29">
        <f>IF($A66="","",Rates!$C$8)</f>
        <v/>
      </c>
      <c r="L66" s="29">
        <f>IF($A66="","",($B66+$C66)*$I66)</f>
        <v/>
      </c>
      <c r="M66" s="29">
        <f>IF($A66="","",$G66*$J66+($E66+$F66+$G66)*$K66)</f>
        <v/>
      </c>
      <c r="N66" s="20" t="n"/>
      <c r="O66" s="10" t="n"/>
      <c r="P66" s="10" t="n"/>
      <c r="Q66" s="29">
        <f>IF($A66="","",IF($P66="YES",IF($O66="Bob",$N66,-$N66),0))</f>
        <v/>
      </c>
      <c r="R66" s="30">
        <f>IF($A66="","",IF(ROUND($S66,2)&gt;0,"Olivia pays Bob "&amp;TEXT($S66,"#,##0.00"),IF(ROUND($S66,2)&lt;0,"Bob pays Olivia "&amp;TEXT(-$S66,"#,##0.00"),"Nothing owed")))</f>
        <v/>
      </c>
      <c r="S66" s="31">
        <f>IF($A66="","",$L66-$M66+$Q66)</f>
        <v/>
      </c>
    </row>
    <row r="67" ht="17" customHeight="1">
      <c r="A67" s="26" t="n"/>
      <c r="B67" s="27" t="n"/>
      <c r="C67" s="27" t="n"/>
      <c r="D67" s="27" t="n"/>
      <c r="E67" s="27" t="n"/>
      <c r="F67" s="27" t="n"/>
      <c r="G67" s="27" t="n"/>
      <c r="H67" s="28">
        <f>IF($A67="","",SUM($B67:$G67))</f>
        <v/>
      </c>
      <c r="I67" s="29">
        <f>IF($A67="","",Rates!$C$6)</f>
        <v/>
      </c>
      <c r="J67" s="29">
        <f>IF($A67="","",Rates!$C$7)</f>
        <v/>
      </c>
      <c r="K67" s="29">
        <f>IF($A67="","",Rates!$C$8)</f>
        <v/>
      </c>
      <c r="L67" s="29">
        <f>IF($A67="","",($B67+$C67)*$I67)</f>
        <v/>
      </c>
      <c r="M67" s="29">
        <f>IF($A67="","",$G67*$J67+($E67+$F67+$G67)*$K67)</f>
        <v/>
      </c>
      <c r="N67" s="20" t="n"/>
      <c r="O67" s="10" t="n"/>
      <c r="P67" s="10" t="n"/>
      <c r="Q67" s="29">
        <f>IF($A67="","",IF($P67="YES",IF($O67="Bob",$N67,-$N67),0))</f>
        <v/>
      </c>
      <c r="R67" s="30">
        <f>IF($A67="","",IF(ROUND($S67,2)&gt;0,"Olivia pays Bob "&amp;TEXT($S67,"#,##0.00"),IF(ROUND($S67,2)&lt;0,"Bob pays Olivia "&amp;TEXT(-$S67,"#,##0.00"),"Nothing owed")))</f>
        <v/>
      </c>
      <c r="S67" s="31">
        <f>IF($A67="","",$L67-$M67+$Q67)</f>
        <v/>
      </c>
    </row>
    <row r="68" ht="17" customHeight="1">
      <c r="A68" s="26" t="n"/>
      <c r="B68" s="27" t="n"/>
      <c r="C68" s="27" t="n"/>
      <c r="D68" s="27" t="n"/>
      <c r="E68" s="27" t="n"/>
      <c r="F68" s="27" t="n"/>
      <c r="G68" s="27" t="n"/>
      <c r="H68" s="28">
        <f>IF($A68="","",SUM($B68:$G68))</f>
        <v/>
      </c>
      <c r="I68" s="29">
        <f>IF($A68="","",Rates!$C$6)</f>
        <v/>
      </c>
      <c r="J68" s="29">
        <f>IF($A68="","",Rates!$C$7)</f>
        <v/>
      </c>
      <c r="K68" s="29">
        <f>IF($A68="","",Rates!$C$8)</f>
        <v/>
      </c>
      <c r="L68" s="29">
        <f>IF($A68="","",($B68+$C68)*$I68)</f>
        <v/>
      </c>
      <c r="M68" s="29">
        <f>IF($A68="","",$G68*$J68+($E68+$F68+$G68)*$K68)</f>
        <v/>
      </c>
      <c r="N68" s="20" t="n"/>
      <c r="O68" s="10" t="n"/>
      <c r="P68" s="10" t="n"/>
      <c r="Q68" s="29">
        <f>IF($A68="","",IF($P68="YES",IF($O68="Bob",$N68,-$N68),0))</f>
        <v/>
      </c>
      <c r="R68" s="30">
        <f>IF($A68="","",IF(ROUND($S68,2)&gt;0,"Olivia pays Bob "&amp;TEXT($S68,"#,##0.00"),IF(ROUND($S68,2)&lt;0,"Bob pays Olivia "&amp;TEXT(-$S68,"#,##0.00"),"Nothing owed")))</f>
        <v/>
      </c>
      <c r="S68" s="31">
        <f>IF($A68="","",$L68-$M68+$Q68)</f>
        <v/>
      </c>
    </row>
    <row r="69" ht="17" customHeight="1">
      <c r="A69" s="26" t="n"/>
      <c r="B69" s="27" t="n"/>
      <c r="C69" s="27" t="n"/>
      <c r="D69" s="27" t="n"/>
      <c r="E69" s="27" t="n"/>
      <c r="F69" s="27" t="n"/>
      <c r="G69" s="27" t="n"/>
      <c r="H69" s="28">
        <f>IF($A69="","",SUM($B69:$G69))</f>
        <v/>
      </c>
      <c r="I69" s="29">
        <f>IF($A69="","",Rates!$C$6)</f>
        <v/>
      </c>
      <c r="J69" s="29">
        <f>IF($A69="","",Rates!$C$7)</f>
        <v/>
      </c>
      <c r="K69" s="29">
        <f>IF($A69="","",Rates!$C$8)</f>
        <v/>
      </c>
      <c r="L69" s="29">
        <f>IF($A69="","",($B69+$C69)*$I69)</f>
        <v/>
      </c>
      <c r="M69" s="29">
        <f>IF($A69="","",$G69*$J69+($E69+$F69+$G69)*$K69)</f>
        <v/>
      </c>
      <c r="N69" s="20" t="n"/>
      <c r="O69" s="10" t="n"/>
      <c r="P69" s="10" t="n"/>
      <c r="Q69" s="29">
        <f>IF($A69="","",IF($P69="YES",IF($O69="Bob",$N69,-$N69),0))</f>
        <v/>
      </c>
      <c r="R69" s="30">
        <f>IF($A69="","",IF(ROUND($S69,2)&gt;0,"Olivia pays Bob "&amp;TEXT($S69,"#,##0.00"),IF(ROUND($S69,2)&lt;0,"Bob pays Olivia "&amp;TEXT(-$S69,"#,##0.00"),"Nothing owed")))</f>
        <v/>
      </c>
      <c r="S69" s="31">
        <f>IF($A69="","",$L69-$M69+$Q69)</f>
        <v/>
      </c>
    </row>
    <row r="70" ht="17" customHeight="1">
      <c r="A70" s="26" t="n"/>
      <c r="B70" s="27" t="n"/>
      <c r="C70" s="27" t="n"/>
      <c r="D70" s="27" t="n"/>
      <c r="E70" s="27" t="n"/>
      <c r="F70" s="27" t="n"/>
      <c r="G70" s="27" t="n"/>
      <c r="H70" s="28">
        <f>IF($A70="","",SUM($B70:$G70))</f>
        <v/>
      </c>
      <c r="I70" s="29">
        <f>IF($A70="","",Rates!$C$6)</f>
        <v/>
      </c>
      <c r="J70" s="29">
        <f>IF($A70="","",Rates!$C$7)</f>
        <v/>
      </c>
      <c r="K70" s="29">
        <f>IF($A70="","",Rates!$C$8)</f>
        <v/>
      </c>
      <c r="L70" s="29">
        <f>IF($A70="","",($B70+$C70)*$I70)</f>
        <v/>
      </c>
      <c r="M70" s="29">
        <f>IF($A70="","",$G70*$J70+($E70+$F70+$G70)*$K70)</f>
        <v/>
      </c>
      <c r="N70" s="20" t="n"/>
      <c r="O70" s="10" t="n"/>
      <c r="P70" s="10" t="n"/>
      <c r="Q70" s="29">
        <f>IF($A70="","",IF($P70="YES",IF($O70="Bob",$N70,-$N70),0))</f>
        <v/>
      </c>
      <c r="R70" s="30">
        <f>IF($A70="","",IF(ROUND($S70,2)&gt;0,"Olivia pays Bob "&amp;TEXT($S70,"#,##0.00"),IF(ROUND($S70,2)&lt;0,"Bob pays Olivia "&amp;TEXT(-$S70,"#,##0.00"),"Nothing owed")))</f>
        <v/>
      </c>
      <c r="S70" s="31">
        <f>IF($A70="","",$L70-$M70+$Q70)</f>
        <v/>
      </c>
    </row>
    <row r="71" ht="17" customHeight="1">
      <c r="A71" s="26" t="n"/>
      <c r="B71" s="27" t="n"/>
      <c r="C71" s="27" t="n"/>
      <c r="D71" s="27" t="n"/>
      <c r="E71" s="27" t="n"/>
      <c r="F71" s="27" t="n"/>
      <c r="G71" s="27" t="n"/>
      <c r="H71" s="28">
        <f>IF($A71="","",SUM($B71:$G71))</f>
        <v/>
      </c>
      <c r="I71" s="29">
        <f>IF($A71="","",Rates!$C$6)</f>
        <v/>
      </c>
      <c r="J71" s="29">
        <f>IF($A71="","",Rates!$C$7)</f>
        <v/>
      </c>
      <c r="K71" s="29">
        <f>IF($A71="","",Rates!$C$8)</f>
        <v/>
      </c>
      <c r="L71" s="29">
        <f>IF($A71="","",($B71+$C71)*$I71)</f>
        <v/>
      </c>
      <c r="M71" s="29">
        <f>IF($A71="","",$G71*$J71+($E71+$F71+$G71)*$K71)</f>
        <v/>
      </c>
      <c r="N71" s="20" t="n"/>
      <c r="O71" s="10" t="n"/>
      <c r="P71" s="10" t="n"/>
      <c r="Q71" s="29">
        <f>IF($A71="","",IF($P71="YES",IF($O71="Bob",$N71,-$N71),0))</f>
        <v/>
      </c>
      <c r="R71" s="30">
        <f>IF($A71="","",IF(ROUND($S71,2)&gt;0,"Olivia pays Bob "&amp;TEXT($S71,"#,##0.00"),IF(ROUND($S71,2)&lt;0,"Bob pays Olivia "&amp;TEXT(-$S71,"#,##0.00"),"Nothing owed")))</f>
        <v/>
      </c>
      <c r="S71" s="31">
        <f>IF($A71="","",$L71-$M71+$Q71)</f>
        <v/>
      </c>
    </row>
    <row r="72" ht="17" customHeight="1">
      <c r="A72" s="26" t="n"/>
      <c r="B72" s="27" t="n"/>
      <c r="C72" s="27" t="n"/>
      <c r="D72" s="27" t="n"/>
      <c r="E72" s="27" t="n"/>
      <c r="F72" s="27" t="n"/>
      <c r="G72" s="27" t="n"/>
      <c r="H72" s="28">
        <f>IF($A72="","",SUM($B72:$G72))</f>
        <v/>
      </c>
      <c r="I72" s="29">
        <f>IF($A72="","",Rates!$C$6)</f>
        <v/>
      </c>
      <c r="J72" s="29">
        <f>IF($A72="","",Rates!$C$7)</f>
        <v/>
      </c>
      <c r="K72" s="29">
        <f>IF($A72="","",Rates!$C$8)</f>
        <v/>
      </c>
      <c r="L72" s="29">
        <f>IF($A72="","",($B72+$C72)*$I72)</f>
        <v/>
      </c>
      <c r="M72" s="29">
        <f>IF($A72="","",$G72*$J72+($E72+$F72+$G72)*$K72)</f>
        <v/>
      </c>
      <c r="N72" s="20" t="n"/>
      <c r="O72" s="10" t="n"/>
      <c r="P72" s="10" t="n"/>
      <c r="Q72" s="29">
        <f>IF($A72="","",IF($P72="YES",IF($O72="Bob",$N72,-$N72),0))</f>
        <v/>
      </c>
      <c r="R72" s="30">
        <f>IF($A72="","",IF(ROUND($S72,2)&gt;0,"Olivia pays Bob "&amp;TEXT($S72,"#,##0.00"),IF(ROUND($S72,2)&lt;0,"Bob pays Olivia "&amp;TEXT(-$S72,"#,##0.00"),"Nothing owed")))</f>
        <v/>
      </c>
      <c r="S72" s="31">
        <f>IF($A72="","",$L72-$M72+$Q72)</f>
        <v/>
      </c>
    </row>
    <row r="73" ht="17" customHeight="1">
      <c r="A73" s="26" t="n"/>
      <c r="B73" s="27" t="n"/>
      <c r="C73" s="27" t="n"/>
      <c r="D73" s="27" t="n"/>
      <c r="E73" s="27" t="n"/>
      <c r="F73" s="27" t="n"/>
      <c r="G73" s="27" t="n"/>
      <c r="H73" s="28">
        <f>IF($A73="","",SUM($B73:$G73))</f>
        <v/>
      </c>
      <c r="I73" s="29">
        <f>IF($A73="","",Rates!$C$6)</f>
        <v/>
      </c>
      <c r="J73" s="29">
        <f>IF($A73="","",Rates!$C$7)</f>
        <v/>
      </c>
      <c r="K73" s="29">
        <f>IF($A73="","",Rates!$C$8)</f>
        <v/>
      </c>
      <c r="L73" s="29">
        <f>IF($A73="","",($B73+$C73)*$I73)</f>
        <v/>
      </c>
      <c r="M73" s="29">
        <f>IF($A73="","",$G73*$J73+($E73+$F73+$G73)*$K73)</f>
        <v/>
      </c>
      <c r="N73" s="20" t="n"/>
      <c r="O73" s="10" t="n"/>
      <c r="P73" s="10" t="n"/>
      <c r="Q73" s="29">
        <f>IF($A73="","",IF($P73="YES",IF($O73="Bob",$N73,-$N73),0))</f>
        <v/>
      </c>
      <c r="R73" s="30">
        <f>IF($A73="","",IF(ROUND($S73,2)&gt;0,"Olivia pays Bob "&amp;TEXT($S73,"#,##0.00"),IF(ROUND($S73,2)&lt;0,"Bob pays Olivia "&amp;TEXT(-$S73,"#,##0.00"),"Nothing owed")))</f>
        <v/>
      </c>
      <c r="S73" s="31">
        <f>IF($A73="","",$L73-$M73+$Q73)</f>
        <v/>
      </c>
    </row>
    <row r="74" ht="17" customHeight="1">
      <c r="A74" s="26" t="n"/>
      <c r="B74" s="27" t="n"/>
      <c r="C74" s="27" t="n"/>
      <c r="D74" s="27" t="n"/>
      <c r="E74" s="27" t="n"/>
      <c r="F74" s="27" t="n"/>
      <c r="G74" s="27" t="n"/>
      <c r="H74" s="28">
        <f>IF($A74="","",SUM($B74:$G74))</f>
        <v/>
      </c>
      <c r="I74" s="29">
        <f>IF($A74="","",Rates!$C$6)</f>
        <v/>
      </c>
      <c r="J74" s="29">
        <f>IF($A74="","",Rates!$C$7)</f>
        <v/>
      </c>
      <c r="K74" s="29">
        <f>IF($A74="","",Rates!$C$8)</f>
        <v/>
      </c>
      <c r="L74" s="29">
        <f>IF($A74="","",($B74+$C74)*$I74)</f>
        <v/>
      </c>
      <c r="M74" s="29">
        <f>IF($A74="","",$G74*$J74+($E74+$F74+$G74)*$K74)</f>
        <v/>
      </c>
      <c r="N74" s="20" t="n"/>
      <c r="O74" s="10" t="n"/>
      <c r="P74" s="10" t="n"/>
      <c r="Q74" s="29">
        <f>IF($A74="","",IF($P74="YES",IF($O74="Bob",$N74,-$N74),0))</f>
        <v/>
      </c>
      <c r="R74" s="30">
        <f>IF($A74="","",IF(ROUND($S74,2)&gt;0,"Olivia pays Bob "&amp;TEXT($S74,"#,##0.00"),IF(ROUND($S74,2)&lt;0,"Bob pays Olivia "&amp;TEXT(-$S74,"#,##0.00"),"Nothing owed")))</f>
        <v/>
      </c>
      <c r="S74" s="31">
        <f>IF($A74="","",$L74-$M74+$Q74)</f>
        <v/>
      </c>
    </row>
    <row r="75" ht="17" customHeight="1">
      <c r="A75" s="26" t="n"/>
      <c r="B75" s="27" t="n"/>
      <c r="C75" s="27" t="n"/>
      <c r="D75" s="27" t="n"/>
      <c r="E75" s="27" t="n"/>
      <c r="F75" s="27" t="n"/>
      <c r="G75" s="27" t="n"/>
      <c r="H75" s="28">
        <f>IF($A75="","",SUM($B75:$G75))</f>
        <v/>
      </c>
      <c r="I75" s="29">
        <f>IF($A75="","",Rates!$C$6)</f>
        <v/>
      </c>
      <c r="J75" s="29">
        <f>IF($A75="","",Rates!$C$7)</f>
        <v/>
      </c>
      <c r="K75" s="29">
        <f>IF($A75="","",Rates!$C$8)</f>
        <v/>
      </c>
      <c r="L75" s="29">
        <f>IF($A75="","",($B75+$C75)*$I75)</f>
        <v/>
      </c>
      <c r="M75" s="29">
        <f>IF($A75="","",$G75*$J75+($E75+$F75+$G75)*$K75)</f>
        <v/>
      </c>
      <c r="N75" s="20" t="n"/>
      <c r="O75" s="10" t="n"/>
      <c r="P75" s="10" t="n"/>
      <c r="Q75" s="29">
        <f>IF($A75="","",IF($P75="YES",IF($O75="Bob",$N75,-$N75),0))</f>
        <v/>
      </c>
      <c r="R75" s="30">
        <f>IF($A75="","",IF(ROUND($S75,2)&gt;0,"Olivia pays Bob "&amp;TEXT($S75,"#,##0.00"),IF(ROUND($S75,2)&lt;0,"Bob pays Olivia "&amp;TEXT(-$S75,"#,##0.00"),"Nothing owed")))</f>
        <v/>
      </c>
      <c r="S75" s="31">
        <f>IF($A75="","",$L75-$M75+$Q75)</f>
        <v/>
      </c>
    </row>
    <row r="76" ht="17" customHeight="1">
      <c r="A76" s="26" t="n"/>
      <c r="B76" s="27" t="n"/>
      <c r="C76" s="27" t="n"/>
      <c r="D76" s="27" t="n"/>
      <c r="E76" s="27" t="n"/>
      <c r="F76" s="27" t="n"/>
      <c r="G76" s="27" t="n"/>
      <c r="H76" s="28">
        <f>IF($A76="","",SUM($B76:$G76))</f>
        <v/>
      </c>
      <c r="I76" s="29">
        <f>IF($A76="","",Rates!$C$6)</f>
        <v/>
      </c>
      <c r="J76" s="29">
        <f>IF($A76="","",Rates!$C$7)</f>
        <v/>
      </c>
      <c r="K76" s="29">
        <f>IF($A76="","",Rates!$C$8)</f>
        <v/>
      </c>
      <c r="L76" s="29">
        <f>IF($A76="","",($B76+$C76)*$I76)</f>
        <v/>
      </c>
      <c r="M76" s="29">
        <f>IF($A76="","",$G76*$J76+($E76+$F76+$G76)*$K76)</f>
        <v/>
      </c>
      <c r="N76" s="20" t="n"/>
      <c r="O76" s="10" t="n"/>
      <c r="P76" s="10" t="n"/>
      <c r="Q76" s="29">
        <f>IF($A76="","",IF($P76="YES",IF($O76="Bob",$N76,-$N76),0))</f>
        <v/>
      </c>
      <c r="R76" s="30">
        <f>IF($A76="","",IF(ROUND($S76,2)&gt;0,"Olivia pays Bob "&amp;TEXT($S76,"#,##0.00"),IF(ROUND($S76,2)&lt;0,"Bob pays Olivia "&amp;TEXT(-$S76,"#,##0.00"),"Nothing owed")))</f>
        <v/>
      </c>
      <c r="S76" s="31">
        <f>IF($A76="","",$L76-$M76+$Q76)</f>
        <v/>
      </c>
    </row>
    <row r="77" ht="17" customHeight="1">
      <c r="A77" s="26" t="n"/>
      <c r="B77" s="27" t="n"/>
      <c r="C77" s="27" t="n"/>
      <c r="D77" s="27" t="n"/>
      <c r="E77" s="27" t="n"/>
      <c r="F77" s="27" t="n"/>
      <c r="G77" s="27" t="n"/>
      <c r="H77" s="28">
        <f>IF($A77="","",SUM($B77:$G77))</f>
        <v/>
      </c>
      <c r="I77" s="29">
        <f>IF($A77="","",Rates!$C$6)</f>
        <v/>
      </c>
      <c r="J77" s="29">
        <f>IF($A77="","",Rates!$C$7)</f>
        <v/>
      </c>
      <c r="K77" s="29">
        <f>IF($A77="","",Rates!$C$8)</f>
        <v/>
      </c>
      <c r="L77" s="29">
        <f>IF($A77="","",($B77+$C77)*$I77)</f>
        <v/>
      </c>
      <c r="M77" s="29">
        <f>IF($A77="","",$G77*$J77+($E77+$F77+$G77)*$K77)</f>
        <v/>
      </c>
      <c r="N77" s="20" t="n"/>
      <c r="O77" s="10" t="n"/>
      <c r="P77" s="10" t="n"/>
      <c r="Q77" s="29">
        <f>IF($A77="","",IF($P77="YES",IF($O77="Bob",$N77,-$N77),0))</f>
        <v/>
      </c>
      <c r="R77" s="30">
        <f>IF($A77="","",IF(ROUND($S77,2)&gt;0,"Olivia pays Bob "&amp;TEXT($S77,"#,##0.00"),IF(ROUND($S77,2)&lt;0,"Bob pays Olivia "&amp;TEXT(-$S77,"#,##0.00"),"Nothing owed")))</f>
        <v/>
      </c>
      <c r="S77" s="31">
        <f>IF($A77="","",$L77-$M77+$Q77)</f>
        <v/>
      </c>
    </row>
    <row r="78" ht="17" customHeight="1">
      <c r="A78" s="26" t="n"/>
      <c r="B78" s="27" t="n"/>
      <c r="C78" s="27" t="n"/>
      <c r="D78" s="27" t="n"/>
      <c r="E78" s="27" t="n"/>
      <c r="F78" s="27" t="n"/>
      <c r="G78" s="27" t="n"/>
      <c r="H78" s="28">
        <f>IF($A78="","",SUM($B78:$G78))</f>
        <v/>
      </c>
      <c r="I78" s="29">
        <f>IF($A78="","",Rates!$C$6)</f>
        <v/>
      </c>
      <c r="J78" s="29">
        <f>IF($A78="","",Rates!$C$7)</f>
        <v/>
      </c>
      <c r="K78" s="29">
        <f>IF($A78="","",Rates!$C$8)</f>
        <v/>
      </c>
      <c r="L78" s="29">
        <f>IF($A78="","",($B78+$C78)*$I78)</f>
        <v/>
      </c>
      <c r="M78" s="29">
        <f>IF($A78="","",$G78*$J78+($E78+$F78+$G78)*$K78)</f>
        <v/>
      </c>
      <c r="N78" s="20" t="n"/>
      <c r="O78" s="10" t="n"/>
      <c r="P78" s="10" t="n"/>
      <c r="Q78" s="29">
        <f>IF($A78="","",IF($P78="YES",IF($O78="Bob",$N78,-$N78),0))</f>
        <v/>
      </c>
      <c r="R78" s="30">
        <f>IF($A78="","",IF(ROUND($S78,2)&gt;0,"Olivia pays Bob "&amp;TEXT($S78,"#,##0.00"),IF(ROUND($S78,2)&lt;0,"Bob pays Olivia "&amp;TEXT(-$S78,"#,##0.00"),"Nothing owed")))</f>
        <v/>
      </c>
      <c r="S78" s="31">
        <f>IF($A78="","",$L78-$M78+$Q78)</f>
        <v/>
      </c>
    </row>
    <row r="79" ht="17" customHeight="1">
      <c r="A79" s="26" t="n"/>
      <c r="B79" s="27" t="n"/>
      <c r="C79" s="27" t="n"/>
      <c r="D79" s="27" t="n"/>
      <c r="E79" s="27" t="n"/>
      <c r="F79" s="27" t="n"/>
      <c r="G79" s="27" t="n"/>
      <c r="H79" s="28">
        <f>IF($A79="","",SUM($B79:$G79))</f>
        <v/>
      </c>
      <c r="I79" s="29">
        <f>IF($A79="","",Rates!$C$6)</f>
        <v/>
      </c>
      <c r="J79" s="29">
        <f>IF($A79="","",Rates!$C$7)</f>
        <v/>
      </c>
      <c r="K79" s="29">
        <f>IF($A79="","",Rates!$C$8)</f>
        <v/>
      </c>
      <c r="L79" s="29">
        <f>IF($A79="","",($B79+$C79)*$I79)</f>
        <v/>
      </c>
      <c r="M79" s="29">
        <f>IF($A79="","",$G79*$J79+($E79+$F79+$G79)*$K79)</f>
        <v/>
      </c>
      <c r="N79" s="20" t="n"/>
      <c r="O79" s="10" t="n"/>
      <c r="P79" s="10" t="n"/>
      <c r="Q79" s="29">
        <f>IF($A79="","",IF($P79="YES",IF($O79="Bob",$N79,-$N79),0))</f>
        <v/>
      </c>
      <c r="R79" s="30">
        <f>IF($A79="","",IF(ROUND($S79,2)&gt;0,"Olivia pays Bob "&amp;TEXT($S79,"#,##0.00"),IF(ROUND($S79,2)&lt;0,"Bob pays Olivia "&amp;TEXT(-$S79,"#,##0.00"),"Nothing owed")))</f>
        <v/>
      </c>
      <c r="S79" s="31">
        <f>IF($A79="","",$L79-$M79+$Q79)</f>
        <v/>
      </c>
    </row>
    <row r="80" ht="17" customHeight="1">
      <c r="A80" s="26" t="n"/>
      <c r="B80" s="27" t="n"/>
      <c r="C80" s="27" t="n"/>
      <c r="D80" s="27" t="n"/>
      <c r="E80" s="27" t="n"/>
      <c r="F80" s="27" t="n"/>
      <c r="G80" s="27" t="n"/>
      <c r="H80" s="28">
        <f>IF($A80="","",SUM($B80:$G80))</f>
        <v/>
      </c>
      <c r="I80" s="29">
        <f>IF($A80="","",Rates!$C$6)</f>
        <v/>
      </c>
      <c r="J80" s="29">
        <f>IF($A80="","",Rates!$C$7)</f>
        <v/>
      </c>
      <c r="K80" s="29">
        <f>IF($A80="","",Rates!$C$8)</f>
        <v/>
      </c>
      <c r="L80" s="29">
        <f>IF($A80="","",($B80+$C80)*$I80)</f>
        <v/>
      </c>
      <c r="M80" s="29">
        <f>IF($A80="","",$G80*$J80+($E80+$F80+$G80)*$K80)</f>
        <v/>
      </c>
      <c r="N80" s="20" t="n"/>
      <c r="O80" s="10" t="n"/>
      <c r="P80" s="10" t="n"/>
      <c r="Q80" s="29">
        <f>IF($A80="","",IF($P80="YES",IF($O80="Bob",$N80,-$N80),0))</f>
        <v/>
      </c>
      <c r="R80" s="30">
        <f>IF($A80="","",IF(ROUND($S80,2)&gt;0,"Olivia pays Bob "&amp;TEXT($S80,"#,##0.00"),IF(ROUND($S80,2)&lt;0,"Bob pays Olivia "&amp;TEXT(-$S80,"#,##0.00"),"Nothing owed")))</f>
        <v/>
      </c>
      <c r="S80" s="31">
        <f>IF($A80="","",$L80-$M80+$Q80)</f>
        <v/>
      </c>
    </row>
    <row r="81" ht="17" customHeight="1">
      <c r="A81" s="26" t="n"/>
      <c r="B81" s="27" t="n"/>
      <c r="C81" s="27" t="n"/>
      <c r="D81" s="27" t="n"/>
      <c r="E81" s="27" t="n"/>
      <c r="F81" s="27" t="n"/>
      <c r="G81" s="27" t="n"/>
      <c r="H81" s="28">
        <f>IF($A81="","",SUM($B81:$G81))</f>
        <v/>
      </c>
      <c r="I81" s="29">
        <f>IF($A81="","",Rates!$C$6)</f>
        <v/>
      </c>
      <c r="J81" s="29">
        <f>IF($A81="","",Rates!$C$7)</f>
        <v/>
      </c>
      <c r="K81" s="29">
        <f>IF($A81="","",Rates!$C$8)</f>
        <v/>
      </c>
      <c r="L81" s="29">
        <f>IF($A81="","",($B81+$C81)*$I81)</f>
        <v/>
      </c>
      <c r="M81" s="29">
        <f>IF($A81="","",$G81*$J81+($E81+$F81+$G81)*$K81)</f>
        <v/>
      </c>
      <c r="N81" s="20" t="n"/>
      <c r="O81" s="10" t="n"/>
      <c r="P81" s="10" t="n"/>
      <c r="Q81" s="29">
        <f>IF($A81="","",IF($P81="YES",IF($O81="Bob",$N81,-$N81),0))</f>
        <v/>
      </c>
      <c r="R81" s="30">
        <f>IF($A81="","",IF(ROUND($S81,2)&gt;0,"Olivia pays Bob "&amp;TEXT($S81,"#,##0.00"),IF(ROUND($S81,2)&lt;0,"Bob pays Olivia "&amp;TEXT(-$S81,"#,##0.00"),"Nothing owed")))</f>
        <v/>
      </c>
      <c r="S81" s="31">
        <f>IF($A81="","",$L81-$M81+$Q81)</f>
        <v/>
      </c>
    </row>
    <row r="82" ht="17" customHeight="1">
      <c r="A82" s="26" t="n"/>
      <c r="B82" s="27" t="n"/>
      <c r="C82" s="27" t="n"/>
      <c r="D82" s="27" t="n"/>
      <c r="E82" s="27" t="n"/>
      <c r="F82" s="27" t="n"/>
      <c r="G82" s="27" t="n"/>
      <c r="H82" s="28">
        <f>IF($A82="","",SUM($B82:$G82))</f>
        <v/>
      </c>
      <c r="I82" s="29">
        <f>IF($A82="","",Rates!$C$6)</f>
        <v/>
      </c>
      <c r="J82" s="29">
        <f>IF($A82="","",Rates!$C$7)</f>
        <v/>
      </c>
      <c r="K82" s="29">
        <f>IF($A82="","",Rates!$C$8)</f>
        <v/>
      </c>
      <c r="L82" s="29">
        <f>IF($A82="","",($B82+$C82)*$I82)</f>
        <v/>
      </c>
      <c r="M82" s="29">
        <f>IF($A82="","",$G82*$J82+($E82+$F82+$G82)*$K82)</f>
        <v/>
      </c>
      <c r="N82" s="20" t="n"/>
      <c r="O82" s="10" t="n"/>
      <c r="P82" s="10" t="n"/>
      <c r="Q82" s="29">
        <f>IF($A82="","",IF($P82="YES",IF($O82="Bob",$N82,-$N82),0))</f>
        <v/>
      </c>
      <c r="R82" s="30">
        <f>IF($A82="","",IF(ROUND($S82,2)&gt;0,"Olivia pays Bob "&amp;TEXT($S82,"#,##0.00"),IF(ROUND($S82,2)&lt;0,"Bob pays Olivia "&amp;TEXT(-$S82,"#,##0.00"),"Nothing owed")))</f>
        <v/>
      </c>
      <c r="S82" s="31">
        <f>IF($A82="","",$L82-$M82+$Q82)</f>
        <v/>
      </c>
    </row>
    <row r="83" ht="17" customHeight="1">
      <c r="A83" s="26" t="n"/>
      <c r="B83" s="27" t="n"/>
      <c r="C83" s="27" t="n"/>
      <c r="D83" s="27" t="n"/>
      <c r="E83" s="27" t="n"/>
      <c r="F83" s="27" t="n"/>
      <c r="G83" s="27" t="n"/>
      <c r="H83" s="28">
        <f>IF($A83="","",SUM($B83:$G83))</f>
        <v/>
      </c>
      <c r="I83" s="29">
        <f>IF($A83="","",Rates!$C$6)</f>
        <v/>
      </c>
      <c r="J83" s="29">
        <f>IF($A83="","",Rates!$C$7)</f>
        <v/>
      </c>
      <c r="K83" s="29">
        <f>IF($A83="","",Rates!$C$8)</f>
        <v/>
      </c>
      <c r="L83" s="29">
        <f>IF($A83="","",($B83+$C83)*$I83)</f>
        <v/>
      </c>
      <c r="M83" s="29">
        <f>IF($A83="","",$G83*$J83+($E83+$F83+$G83)*$K83)</f>
        <v/>
      </c>
      <c r="N83" s="20" t="n"/>
      <c r="O83" s="10" t="n"/>
      <c r="P83" s="10" t="n"/>
      <c r="Q83" s="29">
        <f>IF($A83="","",IF($P83="YES",IF($O83="Bob",$N83,-$N83),0))</f>
        <v/>
      </c>
      <c r="R83" s="30">
        <f>IF($A83="","",IF(ROUND($S83,2)&gt;0,"Olivia pays Bob "&amp;TEXT($S83,"#,##0.00"),IF(ROUND($S83,2)&lt;0,"Bob pays Olivia "&amp;TEXT(-$S83,"#,##0.00"),"Nothing owed")))</f>
        <v/>
      </c>
      <c r="S83" s="31">
        <f>IF($A83="","",$L83-$M83+$Q83)</f>
        <v/>
      </c>
    </row>
    <row r="84" ht="17" customHeight="1">
      <c r="A84" s="26" t="n"/>
      <c r="B84" s="27" t="n"/>
      <c r="C84" s="27" t="n"/>
      <c r="D84" s="27" t="n"/>
      <c r="E84" s="27" t="n"/>
      <c r="F84" s="27" t="n"/>
      <c r="G84" s="27" t="n"/>
      <c r="H84" s="28">
        <f>IF($A84="","",SUM($B84:$G84))</f>
        <v/>
      </c>
      <c r="I84" s="29">
        <f>IF($A84="","",Rates!$C$6)</f>
        <v/>
      </c>
      <c r="J84" s="29">
        <f>IF($A84="","",Rates!$C$7)</f>
        <v/>
      </c>
      <c r="K84" s="29">
        <f>IF($A84="","",Rates!$C$8)</f>
        <v/>
      </c>
      <c r="L84" s="29">
        <f>IF($A84="","",($B84+$C84)*$I84)</f>
        <v/>
      </c>
      <c r="M84" s="29">
        <f>IF($A84="","",$G84*$J84+($E84+$F84+$G84)*$K84)</f>
        <v/>
      </c>
      <c r="N84" s="20" t="n"/>
      <c r="O84" s="10" t="n"/>
      <c r="P84" s="10" t="n"/>
      <c r="Q84" s="29">
        <f>IF($A84="","",IF($P84="YES",IF($O84="Bob",$N84,-$N84),0))</f>
        <v/>
      </c>
      <c r="R84" s="30">
        <f>IF($A84="","",IF(ROUND($S84,2)&gt;0,"Olivia pays Bob "&amp;TEXT($S84,"#,##0.00"),IF(ROUND($S84,2)&lt;0,"Bob pays Olivia "&amp;TEXT(-$S84,"#,##0.00"),"Nothing owed")))</f>
        <v/>
      </c>
      <c r="S84" s="31">
        <f>IF($A84="","",$L84-$M84+$Q84)</f>
        <v/>
      </c>
    </row>
    <row r="85" ht="17" customHeight="1">
      <c r="A85" s="26" t="n"/>
      <c r="B85" s="27" t="n"/>
      <c r="C85" s="27" t="n"/>
      <c r="D85" s="27" t="n"/>
      <c r="E85" s="27" t="n"/>
      <c r="F85" s="27" t="n"/>
      <c r="G85" s="27" t="n"/>
      <c r="H85" s="28">
        <f>IF($A85="","",SUM($B85:$G85))</f>
        <v/>
      </c>
      <c r="I85" s="29">
        <f>IF($A85="","",Rates!$C$6)</f>
        <v/>
      </c>
      <c r="J85" s="29">
        <f>IF($A85="","",Rates!$C$7)</f>
        <v/>
      </c>
      <c r="K85" s="29">
        <f>IF($A85="","",Rates!$C$8)</f>
        <v/>
      </c>
      <c r="L85" s="29">
        <f>IF($A85="","",($B85+$C85)*$I85)</f>
        <v/>
      </c>
      <c r="M85" s="29">
        <f>IF($A85="","",$G85*$J85+($E85+$F85+$G85)*$K85)</f>
        <v/>
      </c>
      <c r="N85" s="20" t="n"/>
      <c r="O85" s="10" t="n"/>
      <c r="P85" s="10" t="n"/>
      <c r="Q85" s="29">
        <f>IF($A85="","",IF($P85="YES",IF($O85="Bob",$N85,-$N85),0))</f>
        <v/>
      </c>
      <c r="R85" s="30">
        <f>IF($A85="","",IF(ROUND($S85,2)&gt;0,"Olivia pays Bob "&amp;TEXT($S85,"#,##0.00"),IF(ROUND($S85,2)&lt;0,"Bob pays Olivia "&amp;TEXT(-$S85,"#,##0.00"),"Nothing owed")))</f>
        <v/>
      </c>
      <c r="S85" s="31">
        <f>IF($A85="","",$L85-$M85+$Q85)</f>
        <v/>
      </c>
    </row>
    <row r="86" ht="17" customHeight="1">
      <c r="A86" s="26" t="n"/>
      <c r="B86" s="27" t="n"/>
      <c r="C86" s="27" t="n"/>
      <c r="D86" s="27" t="n"/>
      <c r="E86" s="27" t="n"/>
      <c r="F86" s="27" t="n"/>
      <c r="G86" s="27" t="n"/>
      <c r="H86" s="28">
        <f>IF($A86="","",SUM($B86:$G86))</f>
        <v/>
      </c>
      <c r="I86" s="29">
        <f>IF($A86="","",Rates!$C$6)</f>
        <v/>
      </c>
      <c r="J86" s="29">
        <f>IF($A86="","",Rates!$C$7)</f>
        <v/>
      </c>
      <c r="K86" s="29">
        <f>IF($A86="","",Rates!$C$8)</f>
        <v/>
      </c>
      <c r="L86" s="29">
        <f>IF($A86="","",($B86+$C86)*$I86)</f>
        <v/>
      </c>
      <c r="M86" s="29">
        <f>IF($A86="","",$G86*$J86+($E86+$F86+$G86)*$K86)</f>
        <v/>
      </c>
      <c r="N86" s="20" t="n"/>
      <c r="O86" s="10" t="n"/>
      <c r="P86" s="10" t="n"/>
      <c r="Q86" s="29">
        <f>IF($A86="","",IF($P86="YES",IF($O86="Bob",$N86,-$N86),0))</f>
        <v/>
      </c>
      <c r="R86" s="30">
        <f>IF($A86="","",IF(ROUND($S86,2)&gt;0,"Olivia pays Bob "&amp;TEXT($S86,"#,##0.00"),IF(ROUND($S86,2)&lt;0,"Bob pays Olivia "&amp;TEXT(-$S86,"#,##0.00"),"Nothing owed")))</f>
        <v/>
      </c>
      <c r="S86" s="31">
        <f>IF($A86="","",$L86-$M86+$Q86)</f>
        <v/>
      </c>
    </row>
    <row r="87" ht="17" customHeight="1">
      <c r="A87" s="26" t="n"/>
      <c r="B87" s="27" t="n"/>
      <c r="C87" s="27" t="n"/>
      <c r="D87" s="27" t="n"/>
      <c r="E87" s="27" t="n"/>
      <c r="F87" s="27" t="n"/>
      <c r="G87" s="27" t="n"/>
      <c r="H87" s="28">
        <f>IF($A87="","",SUM($B87:$G87))</f>
        <v/>
      </c>
      <c r="I87" s="29">
        <f>IF($A87="","",Rates!$C$6)</f>
        <v/>
      </c>
      <c r="J87" s="29">
        <f>IF($A87="","",Rates!$C$7)</f>
        <v/>
      </c>
      <c r="K87" s="29">
        <f>IF($A87="","",Rates!$C$8)</f>
        <v/>
      </c>
      <c r="L87" s="29">
        <f>IF($A87="","",($B87+$C87)*$I87)</f>
        <v/>
      </c>
      <c r="M87" s="29">
        <f>IF($A87="","",$G87*$J87+($E87+$F87+$G87)*$K87)</f>
        <v/>
      </c>
      <c r="N87" s="20" t="n"/>
      <c r="O87" s="10" t="n"/>
      <c r="P87" s="10" t="n"/>
      <c r="Q87" s="29">
        <f>IF($A87="","",IF($P87="YES",IF($O87="Bob",$N87,-$N87),0))</f>
        <v/>
      </c>
      <c r="R87" s="30">
        <f>IF($A87="","",IF(ROUND($S87,2)&gt;0,"Olivia pays Bob "&amp;TEXT($S87,"#,##0.00"),IF(ROUND($S87,2)&lt;0,"Bob pays Olivia "&amp;TEXT(-$S87,"#,##0.00"),"Nothing owed")))</f>
        <v/>
      </c>
      <c r="S87" s="31">
        <f>IF($A87="","",$L87-$M87+$Q87)</f>
        <v/>
      </c>
    </row>
    <row r="88" ht="17" customHeight="1">
      <c r="A88" s="26" t="n"/>
      <c r="B88" s="27" t="n"/>
      <c r="C88" s="27" t="n"/>
      <c r="D88" s="27" t="n"/>
      <c r="E88" s="27" t="n"/>
      <c r="F88" s="27" t="n"/>
      <c r="G88" s="27" t="n"/>
      <c r="H88" s="28">
        <f>IF($A88="","",SUM($B88:$G88))</f>
        <v/>
      </c>
      <c r="I88" s="29">
        <f>IF($A88="","",Rates!$C$6)</f>
        <v/>
      </c>
      <c r="J88" s="29">
        <f>IF($A88="","",Rates!$C$7)</f>
        <v/>
      </c>
      <c r="K88" s="29">
        <f>IF($A88="","",Rates!$C$8)</f>
        <v/>
      </c>
      <c r="L88" s="29">
        <f>IF($A88="","",($B88+$C88)*$I88)</f>
        <v/>
      </c>
      <c r="M88" s="29">
        <f>IF($A88="","",$G88*$J88+($E88+$F88+$G88)*$K88)</f>
        <v/>
      </c>
      <c r="N88" s="20" t="n"/>
      <c r="O88" s="10" t="n"/>
      <c r="P88" s="10" t="n"/>
      <c r="Q88" s="29">
        <f>IF($A88="","",IF($P88="YES",IF($O88="Bob",$N88,-$N88),0))</f>
        <v/>
      </c>
      <c r="R88" s="30">
        <f>IF($A88="","",IF(ROUND($S88,2)&gt;0,"Olivia pays Bob "&amp;TEXT($S88,"#,##0.00"),IF(ROUND($S88,2)&lt;0,"Bob pays Olivia "&amp;TEXT(-$S88,"#,##0.00"),"Nothing owed")))</f>
        <v/>
      </c>
      <c r="S88" s="31">
        <f>IF($A88="","",$L88-$M88+$Q88)</f>
        <v/>
      </c>
    </row>
    <row r="89" ht="17" customHeight="1">
      <c r="A89" s="26" t="n"/>
      <c r="B89" s="27" t="n"/>
      <c r="C89" s="27" t="n"/>
      <c r="D89" s="27" t="n"/>
      <c r="E89" s="27" t="n"/>
      <c r="F89" s="27" t="n"/>
      <c r="G89" s="27" t="n"/>
      <c r="H89" s="28">
        <f>IF($A89="","",SUM($B89:$G89))</f>
        <v/>
      </c>
      <c r="I89" s="29">
        <f>IF($A89="","",Rates!$C$6)</f>
        <v/>
      </c>
      <c r="J89" s="29">
        <f>IF($A89="","",Rates!$C$7)</f>
        <v/>
      </c>
      <c r="K89" s="29">
        <f>IF($A89="","",Rates!$C$8)</f>
        <v/>
      </c>
      <c r="L89" s="29">
        <f>IF($A89="","",($B89+$C89)*$I89)</f>
        <v/>
      </c>
      <c r="M89" s="29">
        <f>IF($A89="","",$G89*$J89+($E89+$F89+$G89)*$K89)</f>
        <v/>
      </c>
      <c r="N89" s="20" t="n"/>
      <c r="O89" s="10" t="n"/>
      <c r="P89" s="10" t="n"/>
      <c r="Q89" s="29">
        <f>IF($A89="","",IF($P89="YES",IF($O89="Bob",$N89,-$N89),0))</f>
        <v/>
      </c>
      <c r="R89" s="30">
        <f>IF($A89="","",IF(ROUND($S89,2)&gt;0,"Olivia pays Bob "&amp;TEXT($S89,"#,##0.00"),IF(ROUND($S89,2)&lt;0,"Bob pays Olivia "&amp;TEXT(-$S89,"#,##0.00"),"Nothing owed")))</f>
        <v/>
      </c>
      <c r="S89" s="31">
        <f>IF($A89="","",$L89-$M89+$Q89)</f>
        <v/>
      </c>
    </row>
    <row r="90" ht="17" customHeight="1">
      <c r="A90" s="26" t="n"/>
      <c r="B90" s="27" t="n"/>
      <c r="C90" s="27" t="n"/>
      <c r="D90" s="27" t="n"/>
      <c r="E90" s="27" t="n"/>
      <c r="F90" s="27" t="n"/>
      <c r="G90" s="27" t="n"/>
      <c r="H90" s="28">
        <f>IF($A90="","",SUM($B90:$G90))</f>
        <v/>
      </c>
      <c r="I90" s="29">
        <f>IF($A90="","",Rates!$C$6)</f>
        <v/>
      </c>
      <c r="J90" s="29">
        <f>IF($A90="","",Rates!$C$7)</f>
        <v/>
      </c>
      <c r="K90" s="29">
        <f>IF($A90="","",Rates!$C$8)</f>
        <v/>
      </c>
      <c r="L90" s="29">
        <f>IF($A90="","",($B90+$C90)*$I90)</f>
        <v/>
      </c>
      <c r="M90" s="29">
        <f>IF($A90="","",$G90*$J90+($E90+$F90+$G90)*$K90)</f>
        <v/>
      </c>
      <c r="N90" s="20" t="n"/>
      <c r="O90" s="10" t="n"/>
      <c r="P90" s="10" t="n"/>
      <c r="Q90" s="29">
        <f>IF($A90="","",IF($P90="YES",IF($O90="Bob",$N90,-$N90),0))</f>
        <v/>
      </c>
      <c r="R90" s="30">
        <f>IF($A90="","",IF(ROUND($S90,2)&gt;0,"Olivia pays Bob "&amp;TEXT($S90,"#,##0.00"),IF(ROUND($S90,2)&lt;0,"Bob pays Olivia "&amp;TEXT(-$S90,"#,##0.00"),"Nothing owed")))</f>
        <v/>
      </c>
      <c r="S90" s="31">
        <f>IF($A90="","",$L90-$M90+$Q90)</f>
        <v/>
      </c>
    </row>
    <row r="91" ht="17" customHeight="1">
      <c r="A91" s="26" t="n"/>
      <c r="B91" s="27" t="n"/>
      <c r="C91" s="27" t="n"/>
      <c r="D91" s="27" t="n"/>
      <c r="E91" s="27" t="n"/>
      <c r="F91" s="27" t="n"/>
      <c r="G91" s="27" t="n"/>
      <c r="H91" s="28">
        <f>IF($A91="","",SUM($B91:$G91))</f>
        <v/>
      </c>
      <c r="I91" s="29">
        <f>IF($A91="","",Rates!$C$6)</f>
        <v/>
      </c>
      <c r="J91" s="29">
        <f>IF($A91="","",Rates!$C$7)</f>
        <v/>
      </c>
      <c r="K91" s="29">
        <f>IF($A91="","",Rates!$C$8)</f>
        <v/>
      </c>
      <c r="L91" s="29">
        <f>IF($A91="","",($B91+$C91)*$I91)</f>
        <v/>
      </c>
      <c r="M91" s="29">
        <f>IF($A91="","",$G91*$J91+($E91+$F91+$G91)*$K91)</f>
        <v/>
      </c>
      <c r="N91" s="20" t="n"/>
      <c r="O91" s="10" t="n"/>
      <c r="P91" s="10" t="n"/>
      <c r="Q91" s="29">
        <f>IF($A91="","",IF($P91="YES",IF($O91="Bob",$N91,-$N91),0))</f>
        <v/>
      </c>
      <c r="R91" s="30">
        <f>IF($A91="","",IF(ROUND($S91,2)&gt;0,"Olivia pays Bob "&amp;TEXT($S91,"#,##0.00"),IF(ROUND($S91,2)&lt;0,"Bob pays Olivia "&amp;TEXT(-$S91,"#,##0.00"),"Nothing owed")))</f>
        <v/>
      </c>
      <c r="S91" s="31">
        <f>IF($A91="","",$L91-$M91+$Q91)</f>
        <v/>
      </c>
    </row>
    <row r="92" ht="17" customHeight="1">
      <c r="A92" s="26" t="n"/>
      <c r="B92" s="27" t="n"/>
      <c r="C92" s="27" t="n"/>
      <c r="D92" s="27" t="n"/>
      <c r="E92" s="27" t="n"/>
      <c r="F92" s="27" t="n"/>
      <c r="G92" s="27" t="n"/>
      <c r="H92" s="28">
        <f>IF($A92="","",SUM($B92:$G92))</f>
        <v/>
      </c>
      <c r="I92" s="29">
        <f>IF($A92="","",Rates!$C$6)</f>
        <v/>
      </c>
      <c r="J92" s="29">
        <f>IF($A92="","",Rates!$C$7)</f>
        <v/>
      </c>
      <c r="K92" s="29">
        <f>IF($A92="","",Rates!$C$8)</f>
        <v/>
      </c>
      <c r="L92" s="29">
        <f>IF($A92="","",($B92+$C92)*$I92)</f>
        <v/>
      </c>
      <c r="M92" s="29">
        <f>IF($A92="","",$G92*$J92+($E92+$F92+$G92)*$K92)</f>
        <v/>
      </c>
      <c r="N92" s="20" t="n"/>
      <c r="O92" s="10" t="n"/>
      <c r="P92" s="10" t="n"/>
      <c r="Q92" s="29">
        <f>IF($A92="","",IF($P92="YES",IF($O92="Bob",$N92,-$N92),0))</f>
        <v/>
      </c>
      <c r="R92" s="30">
        <f>IF($A92="","",IF(ROUND($S92,2)&gt;0,"Olivia pays Bob "&amp;TEXT($S92,"#,##0.00"),IF(ROUND($S92,2)&lt;0,"Bob pays Olivia "&amp;TEXT(-$S92,"#,##0.00"),"Nothing owed")))</f>
        <v/>
      </c>
      <c r="S92" s="31">
        <f>IF($A92="","",$L92-$M92+$Q92)</f>
        <v/>
      </c>
    </row>
    <row r="93" ht="17" customHeight="1">
      <c r="A93" s="26" t="n"/>
      <c r="B93" s="27" t="n"/>
      <c r="C93" s="27" t="n"/>
      <c r="D93" s="27" t="n"/>
      <c r="E93" s="27" t="n"/>
      <c r="F93" s="27" t="n"/>
      <c r="G93" s="27" t="n"/>
      <c r="H93" s="28">
        <f>IF($A93="","",SUM($B93:$G93))</f>
        <v/>
      </c>
      <c r="I93" s="29">
        <f>IF($A93="","",Rates!$C$6)</f>
        <v/>
      </c>
      <c r="J93" s="29">
        <f>IF($A93="","",Rates!$C$7)</f>
        <v/>
      </c>
      <c r="K93" s="29">
        <f>IF($A93="","",Rates!$C$8)</f>
        <v/>
      </c>
      <c r="L93" s="29">
        <f>IF($A93="","",($B93+$C93)*$I93)</f>
        <v/>
      </c>
      <c r="M93" s="29">
        <f>IF($A93="","",$G93*$J93+($E93+$F93+$G93)*$K93)</f>
        <v/>
      </c>
      <c r="N93" s="20" t="n"/>
      <c r="O93" s="10" t="n"/>
      <c r="P93" s="10" t="n"/>
      <c r="Q93" s="29">
        <f>IF($A93="","",IF($P93="YES",IF($O93="Bob",$N93,-$N93),0))</f>
        <v/>
      </c>
      <c r="R93" s="30">
        <f>IF($A93="","",IF(ROUND($S93,2)&gt;0,"Olivia pays Bob "&amp;TEXT($S93,"#,##0.00"),IF(ROUND($S93,2)&lt;0,"Bob pays Olivia "&amp;TEXT(-$S93,"#,##0.00"),"Nothing owed")))</f>
        <v/>
      </c>
      <c r="S93" s="31">
        <f>IF($A93="","",$L93-$M93+$Q93)</f>
        <v/>
      </c>
    </row>
    <row r="94" ht="17" customHeight="1">
      <c r="A94" s="26" t="n"/>
      <c r="B94" s="27" t="n"/>
      <c r="C94" s="27" t="n"/>
      <c r="D94" s="27" t="n"/>
      <c r="E94" s="27" t="n"/>
      <c r="F94" s="27" t="n"/>
      <c r="G94" s="27" t="n"/>
      <c r="H94" s="28">
        <f>IF($A94="","",SUM($B94:$G94))</f>
        <v/>
      </c>
      <c r="I94" s="29">
        <f>IF($A94="","",Rates!$C$6)</f>
        <v/>
      </c>
      <c r="J94" s="29">
        <f>IF($A94="","",Rates!$C$7)</f>
        <v/>
      </c>
      <c r="K94" s="29">
        <f>IF($A94="","",Rates!$C$8)</f>
        <v/>
      </c>
      <c r="L94" s="29">
        <f>IF($A94="","",($B94+$C94)*$I94)</f>
        <v/>
      </c>
      <c r="M94" s="29">
        <f>IF($A94="","",$G94*$J94+($E94+$F94+$G94)*$K94)</f>
        <v/>
      </c>
      <c r="N94" s="20" t="n"/>
      <c r="O94" s="10" t="n"/>
      <c r="P94" s="10" t="n"/>
      <c r="Q94" s="29">
        <f>IF($A94="","",IF($P94="YES",IF($O94="Bob",$N94,-$N94),0))</f>
        <v/>
      </c>
      <c r="R94" s="30">
        <f>IF($A94="","",IF(ROUND($S94,2)&gt;0,"Olivia pays Bob "&amp;TEXT($S94,"#,##0.00"),IF(ROUND($S94,2)&lt;0,"Bob pays Olivia "&amp;TEXT(-$S94,"#,##0.00"),"Nothing owed")))</f>
        <v/>
      </c>
      <c r="S94" s="31">
        <f>IF($A94="","",$L94-$M94+$Q94)</f>
        <v/>
      </c>
    </row>
    <row r="95" ht="17" customHeight="1">
      <c r="A95" s="26" t="n"/>
      <c r="B95" s="27" t="n"/>
      <c r="C95" s="27" t="n"/>
      <c r="D95" s="27" t="n"/>
      <c r="E95" s="27" t="n"/>
      <c r="F95" s="27" t="n"/>
      <c r="G95" s="27" t="n"/>
      <c r="H95" s="28">
        <f>IF($A95="","",SUM($B95:$G95))</f>
        <v/>
      </c>
      <c r="I95" s="29">
        <f>IF($A95="","",Rates!$C$6)</f>
        <v/>
      </c>
      <c r="J95" s="29">
        <f>IF($A95="","",Rates!$C$7)</f>
        <v/>
      </c>
      <c r="K95" s="29">
        <f>IF($A95="","",Rates!$C$8)</f>
        <v/>
      </c>
      <c r="L95" s="29">
        <f>IF($A95="","",($B95+$C95)*$I95)</f>
        <v/>
      </c>
      <c r="M95" s="29">
        <f>IF($A95="","",$G95*$J95+($E95+$F95+$G95)*$K95)</f>
        <v/>
      </c>
      <c r="N95" s="20" t="n"/>
      <c r="O95" s="10" t="n"/>
      <c r="P95" s="10" t="n"/>
      <c r="Q95" s="29">
        <f>IF($A95="","",IF($P95="YES",IF($O95="Bob",$N95,-$N95),0))</f>
        <v/>
      </c>
      <c r="R95" s="30">
        <f>IF($A95="","",IF(ROUND($S95,2)&gt;0,"Olivia pays Bob "&amp;TEXT($S95,"#,##0.00"),IF(ROUND($S95,2)&lt;0,"Bob pays Olivia "&amp;TEXT(-$S95,"#,##0.00"),"Nothing owed")))</f>
        <v/>
      </c>
      <c r="S95" s="31">
        <f>IF($A95="","",$L95-$M95+$Q95)</f>
        <v/>
      </c>
    </row>
    <row r="96" ht="17" customHeight="1">
      <c r="A96" s="26" t="n"/>
      <c r="B96" s="27" t="n"/>
      <c r="C96" s="27" t="n"/>
      <c r="D96" s="27" t="n"/>
      <c r="E96" s="27" t="n"/>
      <c r="F96" s="27" t="n"/>
      <c r="G96" s="27" t="n"/>
      <c r="H96" s="28">
        <f>IF($A96="","",SUM($B96:$G96))</f>
        <v/>
      </c>
      <c r="I96" s="29">
        <f>IF($A96="","",Rates!$C$6)</f>
        <v/>
      </c>
      <c r="J96" s="29">
        <f>IF($A96="","",Rates!$C$7)</f>
        <v/>
      </c>
      <c r="K96" s="29">
        <f>IF($A96="","",Rates!$C$8)</f>
        <v/>
      </c>
      <c r="L96" s="29">
        <f>IF($A96="","",($B96+$C96)*$I96)</f>
        <v/>
      </c>
      <c r="M96" s="29">
        <f>IF($A96="","",$G96*$J96+($E96+$F96+$G96)*$K96)</f>
        <v/>
      </c>
      <c r="N96" s="20" t="n"/>
      <c r="O96" s="10" t="n"/>
      <c r="P96" s="10" t="n"/>
      <c r="Q96" s="29">
        <f>IF($A96="","",IF($P96="YES",IF($O96="Bob",$N96,-$N96),0))</f>
        <v/>
      </c>
      <c r="R96" s="30">
        <f>IF($A96="","",IF(ROUND($S96,2)&gt;0,"Olivia pays Bob "&amp;TEXT($S96,"#,##0.00"),IF(ROUND($S96,2)&lt;0,"Bob pays Olivia "&amp;TEXT(-$S96,"#,##0.00"),"Nothing owed")))</f>
        <v/>
      </c>
      <c r="S96" s="31">
        <f>IF($A96="","",$L96-$M96+$Q96)</f>
        <v/>
      </c>
    </row>
    <row r="97" ht="17" customHeight="1">
      <c r="A97" s="26" t="n"/>
      <c r="B97" s="27" t="n"/>
      <c r="C97" s="27" t="n"/>
      <c r="D97" s="27" t="n"/>
      <c r="E97" s="27" t="n"/>
      <c r="F97" s="27" t="n"/>
      <c r="G97" s="27" t="n"/>
      <c r="H97" s="28">
        <f>IF($A97="","",SUM($B97:$G97))</f>
        <v/>
      </c>
      <c r="I97" s="29">
        <f>IF($A97="","",Rates!$C$6)</f>
        <v/>
      </c>
      <c r="J97" s="29">
        <f>IF($A97="","",Rates!$C$7)</f>
        <v/>
      </c>
      <c r="K97" s="29">
        <f>IF($A97="","",Rates!$C$8)</f>
        <v/>
      </c>
      <c r="L97" s="29">
        <f>IF($A97="","",($B97+$C97)*$I97)</f>
        <v/>
      </c>
      <c r="M97" s="29">
        <f>IF($A97="","",$G97*$J97+($E97+$F97+$G97)*$K97)</f>
        <v/>
      </c>
      <c r="N97" s="20" t="n"/>
      <c r="O97" s="10" t="n"/>
      <c r="P97" s="10" t="n"/>
      <c r="Q97" s="29">
        <f>IF($A97="","",IF($P97="YES",IF($O97="Bob",$N97,-$N97),0))</f>
        <v/>
      </c>
      <c r="R97" s="30">
        <f>IF($A97="","",IF(ROUND($S97,2)&gt;0,"Olivia pays Bob "&amp;TEXT($S97,"#,##0.00"),IF(ROUND($S97,2)&lt;0,"Bob pays Olivia "&amp;TEXT(-$S97,"#,##0.00"),"Nothing owed")))</f>
        <v/>
      </c>
      <c r="S97" s="31">
        <f>IF($A97="","",$L97-$M97+$Q97)</f>
        <v/>
      </c>
    </row>
    <row r="98" ht="17" customHeight="1">
      <c r="A98" s="26" t="n"/>
      <c r="B98" s="27" t="n"/>
      <c r="C98" s="27" t="n"/>
      <c r="D98" s="27" t="n"/>
      <c r="E98" s="27" t="n"/>
      <c r="F98" s="27" t="n"/>
      <c r="G98" s="27" t="n"/>
      <c r="H98" s="28">
        <f>IF($A98="","",SUM($B98:$G98))</f>
        <v/>
      </c>
      <c r="I98" s="29">
        <f>IF($A98="","",Rates!$C$6)</f>
        <v/>
      </c>
      <c r="J98" s="29">
        <f>IF($A98="","",Rates!$C$7)</f>
        <v/>
      </c>
      <c r="K98" s="29">
        <f>IF($A98="","",Rates!$C$8)</f>
        <v/>
      </c>
      <c r="L98" s="29">
        <f>IF($A98="","",($B98+$C98)*$I98)</f>
        <v/>
      </c>
      <c r="M98" s="29">
        <f>IF($A98="","",$G98*$J98+($E98+$F98+$G98)*$K98)</f>
        <v/>
      </c>
      <c r="N98" s="20" t="n"/>
      <c r="O98" s="10" t="n"/>
      <c r="P98" s="10" t="n"/>
      <c r="Q98" s="29">
        <f>IF($A98="","",IF($P98="YES",IF($O98="Bob",$N98,-$N98),0))</f>
        <v/>
      </c>
      <c r="R98" s="30">
        <f>IF($A98="","",IF(ROUND($S98,2)&gt;0,"Olivia pays Bob "&amp;TEXT($S98,"#,##0.00"),IF(ROUND($S98,2)&lt;0,"Bob pays Olivia "&amp;TEXT(-$S98,"#,##0.00"),"Nothing owed")))</f>
        <v/>
      </c>
      <c r="S98" s="31">
        <f>IF($A98="","",$L98-$M98+$Q98)</f>
        <v/>
      </c>
    </row>
    <row r="99" ht="17" customHeight="1">
      <c r="A99" s="26" t="n"/>
      <c r="B99" s="27" t="n"/>
      <c r="C99" s="27" t="n"/>
      <c r="D99" s="27" t="n"/>
      <c r="E99" s="27" t="n"/>
      <c r="F99" s="27" t="n"/>
      <c r="G99" s="27" t="n"/>
      <c r="H99" s="28">
        <f>IF($A99="","",SUM($B99:$G99))</f>
        <v/>
      </c>
      <c r="I99" s="29">
        <f>IF($A99="","",Rates!$C$6)</f>
        <v/>
      </c>
      <c r="J99" s="29">
        <f>IF($A99="","",Rates!$C$7)</f>
        <v/>
      </c>
      <c r="K99" s="29">
        <f>IF($A99="","",Rates!$C$8)</f>
        <v/>
      </c>
      <c r="L99" s="29">
        <f>IF($A99="","",($B99+$C99)*$I99)</f>
        <v/>
      </c>
      <c r="M99" s="29">
        <f>IF($A99="","",$G99*$J99+($E99+$F99+$G99)*$K99)</f>
        <v/>
      </c>
      <c r="N99" s="20" t="n"/>
      <c r="O99" s="10" t="n"/>
      <c r="P99" s="10" t="n"/>
      <c r="Q99" s="29">
        <f>IF($A99="","",IF($P99="YES",IF($O99="Bob",$N99,-$N99),0))</f>
        <v/>
      </c>
      <c r="R99" s="30">
        <f>IF($A99="","",IF(ROUND($S99,2)&gt;0,"Olivia pays Bob "&amp;TEXT($S99,"#,##0.00"),IF(ROUND($S99,2)&lt;0,"Bob pays Olivia "&amp;TEXT(-$S99,"#,##0.00"),"Nothing owed")))</f>
        <v/>
      </c>
      <c r="S99" s="31">
        <f>IF($A99="","",$L99-$M99+$Q99)</f>
        <v/>
      </c>
    </row>
    <row r="100" ht="17" customHeight="1">
      <c r="A100" s="26" t="n"/>
      <c r="B100" s="27" t="n"/>
      <c r="C100" s="27" t="n"/>
      <c r="D100" s="27" t="n"/>
      <c r="E100" s="27" t="n"/>
      <c r="F100" s="27" t="n"/>
      <c r="G100" s="27" t="n"/>
      <c r="H100" s="28">
        <f>IF($A100="","",SUM($B100:$G100))</f>
        <v/>
      </c>
      <c r="I100" s="29">
        <f>IF($A100="","",Rates!$C$6)</f>
        <v/>
      </c>
      <c r="J100" s="29">
        <f>IF($A100="","",Rates!$C$7)</f>
        <v/>
      </c>
      <c r="K100" s="29">
        <f>IF($A100="","",Rates!$C$8)</f>
        <v/>
      </c>
      <c r="L100" s="29">
        <f>IF($A100="","",($B100+$C100)*$I100)</f>
        <v/>
      </c>
      <c r="M100" s="29">
        <f>IF($A100="","",$G100*$J100+($E100+$F100+$G100)*$K100)</f>
        <v/>
      </c>
      <c r="N100" s="20" t="n"/>
      <c r="O100" s="10" t="n"/>
      <c r="P100" s="10" t="n"/>
      <c r="Q100" s="29">
        <f>IF($A100="","",IF($P100="YES",IF($O100="Bob",$N100,-$N100),0))</f>
        <v/>
      </c>
      <c r="R100" s="30">
        <f>IF($A100="","",IF(ROUND($S100,2)&gt;0,"Olivia pays Bob "&amp;TEXT($S100,"#,##0.00"),IF(ROUND($S100,2)&lt;0,"Bob pays Olivia "&amp;TEXT(-$S100,"#,##0.00"),"Nothing owed")))</f>
        <v/>
      </c>
      <c r="S100" s="31">
        <f>IF($A100="","",$L100-$M100+$Q100)</f>
        <v/>
      </c>
    </row>
    <row r="101" ht="17" customHeight="1">
      <c r="A101" s="26" t="n"/>
      <c r="B101" s="27" t="n"/>
      <c r="C101" s="27" t="n"/>
      <c r="D101" s="27" t="n"/>
      <c r="E101" s="27" t="n"/>
      <c r="F101" s="27" t="n"/>
      <c r="G101" s="27" t="n"/>
      <c r="H101" s="28">
        <f>IF($A101="","",SUM($B101:$G101))</f>
        <v/>
      </c>
      <c r="I101" s="29">
        <f>IF($A101="","",Rates!$C$6)</f>
        <v/>
      </c>
      <c r="J101" s="29">
        <f>IF($A101="","",Rates!$C$7)</f>
        <v/>
      </c>
      <c r="K101" s="29">
        <f>IF($A101="","",Rates!$C$8)</f>
        <v/>
      </c>
      <c r="L101" s="29">
        <f>IF($A101="","",($B101+$C101)*$I101)</f>
        <v/>
      </c>
      <c r="M101" s="29">
        <f>IF($A101="","",$G101*$J101+($E101+$F101+$G101)*$K101)</f>
        <v/>
      </c>
      <c r="N101" s="20" t="n"/>
      <c r="O101" s="10" t="n"/>
      <c r="P101" s="10" t="n"/>
      <c r="Q101" s="29">
        <f>IF($A101="","",IF($P101="YES",IF($O101="Bob",$N101,-$N101),0))</f>
        <v/>
      </c>
      <c r="R101" s="30">
        <f>IF($A101="","",IF(ROUND($S101,2)&gt;0,"Olivia pays Bob "&amp;TEXT($S101,"#,##0.00"),IF(ROUND($S101,2)&lt;0,"Bob pays Olivia "&amp;TEXT(-$S101,"#,##0.00"),"Nothing owed")))</f>
        <v/>
      </c>
      <c r="S101" s="31">
        <f>IF($A101="","",$L101-$M101+$Q101)</f>
        <v/>
      </c>
    </row>
    <row r="102" ht="17" customHeight="1">
      <c r="A102" s="26" t="n"/>
      <c r="B102" s="27" t="n"/>
      <c r="C102" s="27" t="n"/>
      <c r="D102" s="27" t="n"/>
      <c r="E102" s="27" t="n"/>
      <c r="F102" s="27" t="n"/>
      <c r="G102" s="27" t="n"/>
      <c r="H102" s="28">
        <f>IF($A102="","",SUM($B102:$G102))</f>
        <v/>
      </c>
      <c r="I102" s="29">
        <f>IF($A102="","",Rates!$C$6)</f>
        <v/>
      </c>
      <c r="J102" s="29">
        <f>IF($A102="","",Rates!$C$7)</f>
        <v/>
      </c>
      <c r="K102" s="29">
        <f>IF($A102="","",Rates!$C$8)</f>
        <v/>
      </c>
      <c r="L102" s="29">
        <f>IF($A102="","",($B102+$C102)*$I102)</f>
        <v/>
      </c>
      <c r="M102" s="29">
        <f>IF($A102="","",$G102*$J102+($E102+$F102+$G102)*$K102)</f>
        <v/>
      </c>
      <c r="N102" s="20" t="n"/>
      <c r="O102" s="10" t="n"/>
      <c r="P102" s="10" t="n"/>
      <c r="Q102" s="29">
        <f>IF($A102="","",IF($P102="YES",IF($O102="Bob",$N102,-$N102),0))</f>
        <v/>
      </c>
      <c r="R102" s="30">
        <f>IF($A102="","",IF(ROUND($S102,2)&gt;0,"Olivia pays Bob "&amp;TEXT($S102,"#,##0.00"),IF(ROUND($S102,2)&lt;0,"Bob pays Olivia "&amp;TEXT(-$S102,"#,##0.00"),"Nothing owed")))</f>
        <v/>
      </c>
      <c r="S102" s="31">
        <f>IF($A102="","",$L102-$M102+$Q102)</f>
        <v/>
      </c>
    </row>
    <row r="103" ht="17" customHeight="1">
      <c r="A103" s="26" t="n"/>
      <c r="B103" s="27" t="n"/>
      <c r="C103" s="27" t="n"/>
      <c r="D103" s="27" t="n"/>
      <c r="E103" s="27" t="n"/>
      <c r="F103" s="27" t="n"/>
      <c r="G103" s="27" t="n"/>
      <c r="H103" s="28">
        <f>IF($A103="","",SUM($B103:$G103))</f>
        <v/>
      </c>
      <c r="I103" s="29">
        <f>IF($A103="","",Rates!$C$6)</f>
        <v/>
      </c>
      <c r="J103" s="29">
        <f>IF($A103="","",Rates!$C$7)</f>
        <v/>
      </c>
      <c r="K103" s="29">
        <f>IF($A103="","",Rates!$C$8)</f>
        <v/>
      </c>
      <c r="L103" s="29">
        <f>IF($A103="","",($B103+$C103)*$I103)</f>
        <v/>
      </c>
      <c r="M103" s="29">
        <f>IF($A103="","",$G103*$J103+($E103+$F103+$G103)*$K103)</f>
        <v/>
      </c>
      <c r="N103" s="20" t="n"/>
      <c r="O103" s="10" t="n"/>
      <c r="P103" s="10" t="n"/>
      <c r="Q103" s="29">
        <f>IF($A103="","",IF($P103="YES",IF($O103="Bob",$N103,-$N103),0))</f>
        <v/>
      </c>
      <c r="R103" s="30">
        <f>IF($A103="","",IF(ROUND($S103,2)&gt;0,"Olivia pays Bob "&amp;TEXT($S103,"#,##0.00"),IF(ROUND($S103,2)&lt;0,"Bob pays Olivia "&amp;TEXT(-$S103,"#,##0.00"),"Nothing owed")))</f>
        <v/>
      </c>
      <c r="S103" s="31">
        <f>IF($A103="","",$L103-$M103+$Q103)</f>
        <v/>
      </c>
    </row>
    <row r="104" ht="17" customHeight="1">
      <c r="A104" s="26" t="n"/>
      <c r="B104" s="27" t="n"/>
      <c r="C104" s="27" t="n"/>
      <c r="D104" s="27" t="n"/>
      <c r="E104" s="27" t="n"/>
      <c r="F104" s="27" t="n"/>
      <c r="G104" s="27" t="n"/>
      <c r="H104" s="28">
        <f>IF($A104="","",SUM($B104:$G104))</f>
        <v/>
      </c>
      <c r="I104" s="29">
        <f>IF($A104="","",Rates!$C$6)</f>
        <v/>
      </c>
      <c r="J104" s="29">
        <f>IF($A104="","",Rates!$C$7)</f>
        <v/>
      </c>
      <c r="K104" s="29">
        <f>IF($A104="","",Rates!$C$8)</f>
        <v/>
      </c>
      <c r="L104" s="29">
        <f>IF($A104="","",($B104+$C104)*$I104)</f>
        <v/>
      </c>
      <c r="M104" s="29">
        <f>IF($A104="","",$G104*$J104+($E104+$F104+$G104)*$K104)</f>
        <v/>
      </c>
      <c r="N104" s="20" t="n"/>
      <c r="O104" s="10" t="n"/>
      <c r="P104" s="10" t="n"/>
      <c r="Q104" s="29">
        <f>IF($A104="","",IF($P104="YES",IF($O104="Bob",$N104,-$N104),0))</f>
        <v/>
      </c>
      <c r="R104" s="30">
        <f>IF($A104="","",IF(ROUND($S104,2)&gt;0,"Olivia pays Bob "&amp;TEXT($S104,"#,##0.00"),IF(ROUND($S104,2)&lt;0,"Bob pays Olivia "&amp;TEXT(-$S104,"#,##0.00"),"Nothing owed")))</f>
        <v/>
      </c>
      <c r="S104" s="31">
        <f>IF($A104="","",$L104-$M104+$Q104)</f>
        <v/>
      </c>
    </row>
    <row r="105" ht="17" customHeight="1">
      <c r="A105" s="26" t="n"/>
      <c r="B105" s="27" t="n"/>
      <c r="C105" s="27" t="n"/>
      <c r="D105" s="27" t="n"/>
      <c r="E105" s="27" t="n"/>
      <c r="F105" s="27" t="n"/>
      <c r="G105" s="27" t="n"/>
      <c r="H105" s="28">
        <f>IF($A105="","",SUM($B105:$G105))</f>
        <v/>
      </c>
      <c r="I105" s="29">
        <f>IF($A105="","",Rates!$C$6)</f>
        <v/>
      </c>
      <c r="J105" s="29">
        <f>IF($A105="","",Rates!$C$7)</f>
        <v/>
      </c>
      <c r="K105" s="29">
        <f>IF($A105="","",Rates!$C$8)</f>
        <v/>
      </c>
      <c r="L105" s="29">
        <f>IF($A105="","",($B105+$C105)*$I105)</f>
        <v/>
      </c>
      <c r="M105" s="29">
        <f>IF($A105="","",$G105*$J105+($E105+$F105+$G105)*$K105)</f>
        <v/>
      </c>
      <c r="N105" s="20" t="n"/>
      <c r="O105" s="10" t="n"/>
      <c r="P105" s="10" t="n"/>
      <c r="Q105" s="29">
        <f>IF($A105="","",IF($P105="YES",IF($O105="Bob",$N105,-$N105),0))</f>
        <v/>
      </c>
      <c r="R105" s="30">
        <f>IF($A105="","",IF(ROUND($S105,2)&gt;0,"Olivia pays Bob "&amp;TEXT($S105,"#,##0.00"),IF(ROUND($S105,2)&lt;0,"Bob pays Olivia "&amp;TEXT(-$S105,"#,##0.00"),"Nothing owed")))</f>
        <v/>
      </c>
      <c r="S105" s="31">
        <f>IF($A105="","",$L105-$M105+$Q105)</f>
        <v/>
      </c>
    </row>
    <row r="106" ht="17" customHeight="1">
      <c r="A106" s="26" t="n"/>
      <c r="B106" s="27" t="n"/>
      <c r="C106" s="27" t="n"/>
      <c r="D106" s="27" t="n"/>
      <c r="E106" s="27" t="n"/>
      <c r="F106" s="27" t="n"/>
      <c r="G106" s="27" t="n"/>
      <c r="H106" s="28">
        <f>IF($A106="","",SUM($B106:$G106))</f>
        <v/>
      </c>
      <c r="I106" s="29">
        <f>IF($A106="","",Rates!$C$6)</f>
        <v/>
      </c>
      <c r="J106" s="29">
        <f>IF($A106="","",Rates!$C$7)</f>
        <v/>
      </c>
      <c r="K106" s="29">
        <f>IF($A106="","",Rates!$C$8)</f>
        <v/>
      </c>
      <c r="L106" s="29">
        <f>IF($A106="","",($B106+$C106)*$I106)</f>
        <v/>
      </c>
      <c r="M106" s="29">
        <f>IF($A106="","",$G106*$J106+($E106+$F106+$G106)*$K106)</f>
        <v/>
      </c>
      <c r="N106" s="20" t="n"/>
      <c r="O106" s="10" t="n"/>
      <c r="P106" s="10" t="n"/>
      <c r="Q106" s="29">
        <f>IF($A106="","",IF($P106="YES",IF($O106="Bob",$N106,-$N106),0))</f>
        <v/>
      </c>
      <c r="R106" s="30">
        <f>IF($A106="","",IF(ROUND($S106,2)&gt;0,"Olivia pays Bob "&amp;TEXT($S106,"#,##0.00"),IF(ROUND($S106,2)&lt;0,"Bob pays Olivia "&amp;TEXT(-$S106,"#,##0.00"),"Nothing owed")))</f>
        <v/>
      </c>
      <c r="S106" s="31">
        <f>IF($A106="","",$L106-$M106+$Q106)</f>
        <v/>
      </c>
    </row>
    <row r="107" ht="17" customHeight="1">
      <c r="A107" s="26" t="n"/>
      <c r="B107" s="27" t="n"/>
      <c r="C107" s="27" t="n"/>
      <c r="D107" s="27" t="n"/>
      <c r="E107" s="27" t="n"/>
      <c r="F107" s="27" t="n"/>
      <c r="G107" s="27" t="n"/>
      <c r="H107" s="28">
        <f>IF($A107="","",SUM($B107:$G107))</f>
        <v/>
      </c>
      <c r="I107" s="29">
        <f>IF($A107="","",Rates!$C$6)</f>
        <v/>
      </c>
      <c r="J107" s="29">
        <f>IF($A107="","",Rates!$C$7)</f>
        <v/>
      </c>
      <c r="K107" s="29">
        <f>IF($A107="","",Rates!$C$8)</f>
        <v/>
      </c>
      <c r="L107" s="29">
        <f>IF($A107="","",($B107+$C107)*$I107)</f>
        <v/>
      </c>
      <c r="M107" s="29">
        <f>IF($A107="","",$G107*$J107+($E107+$F107+$G107)*$K107)</f>
        <v/>
      </c>
      <c r="N107" s="20" t="n"/>
      <c r="O107" s="10" t="n"/>
      <c r="P107" s="10" t="n"/>
      <c r="Q107" s="29">
        <f>IF($A107="","",IF($P107="YES",IF($O107="Bob",$N107,-$N107),0))</f>
        <v/>
      </c>
      <c r="R107" s="30">
        <f>IF($A107="","",IF(ROUND($S107,2)&gt;0,"Olivia pays Bob "&amp;TEXT($S107,"#,##0.00"),IF(ROUND($S107,2)&lt;0,"Bob pays Olivia "&amp;TEXT(-$S107,"#,##0.00"),"Nothing owed")))</f>
        <v/>
      </c>
      <c r="S107" s="31">
        <f>IF($A107="","",$L107-$M107+$Q107)</f>
        <v/>
      </c>
    </row>
    <row r="108" ht="17" customHeight="1">
      <c r="A108" s="26" t="n"/>
      <c r="B108" s="27" t="n"/>
      <c r="C108" s="27" t="n"/>
      <c r="D108" s="27" t="n"/>
      <c r="E108" s="27" t="n"/>
      <c r="F108" s="27" t="n"/>
      <c r="G108" s="27" t="n"/>
      <c r="H108" s="28">
        <f>IF($A108="","",SUM($B108:$G108))</f>
        <v/>
      </c>
      <c r="I108" s="29">
        <f>IF($A108="","",Rates!$C$6)</f>
        <v/>
      </c>
      <c r="J108" s="29">
        <f>IF($A108="","",Rates!$C$7)</f>
        <v/>
      </c>
      <c r="K108" s="29">
        <f>IF($A108="","",Rates!$C$8)</f>
        <v/>
      </c>
      <c r="L108" s="29">
        <f>IF($A108="","",($B108+$C108)*$I108)</f>
        <v/>
      </c>
      <c r="M108" s="29">
        <f>IF($A108="","",$G108*$J108+($E108+$F108+$G108)*$K108)</f>
        <v/>
      </c>
      <c r="N108" s="20" t="n"/>
      <c r="O108" s="10" t="n"/>
      <c r="P108" s="10" t="n"/>
      <c r="Q108" s="29">
        <f>IF($A108="","",IF($P108="YES",IF($O108="Bob",$N108,-$N108),0))</f>
        <v/>
      </c>
      <c r="R108" s="30">
        <f>IF($A108="","",IF(ROUND($S108,2)&gt;0,"Olivia pays Bob "&amp;TEXT($S108,"#,##0.00"),IF(ROUND($S108,2)&lt;0,"Bob pays Olivia "&amp;TEXT(-$S108,"#,##0.00"),"Nothing owed")))</f>
        <v/>
      </c>
      <c r="S108" s="31">
        <f>IF($A108="","",$L108-$M108+$Q108)</f>
        <v/>
      </c>
    </row>
    <row r="109" ht="17" customHeight="1">
      <c r="A109" s="26" t="n"/>
      <c r="B109" s="27" t="n"/>
      <c r="C109" s="27" t="n"/>
      <c r="D109" s="27" t="n"/>
      <c r="E109" s="27" t="n"/>
      <c r="F109" s="27" t="n"/>
      <c r="G109" s="27" t="n"/>
      <c r="H109" s="28">
        <f>IF($A109="","",SUM($B109:$G109))</f>
        <v/>
      </c>
      <c r="I109" s="29">
        <f>IF($A109="","",Rates!$C$6)</f>
        <v/>
      </c>
      <c r="J109" s="29">
        <f>IF($A109="","",Rates!$C$7)</f>
        <v/>
      </c>
      <c r="K109" s="29">
        <f>IF($A109="","",Rates!$C$8)</f>
        <v/>
      </c>
      <c r="L109" s="29">
        <f>IF($A109="","",($B109+$C109)*$I109)</f>
        <v/>
      </c>
      <c r="M109" s="29">
        <f>IF($A109="","",$G109*$J109+($E109+$F109+$G109)*$K109)</f>
        <v/>
      </c>
      <c r="N109" s="20" t="n"/>
      <c r="O109" s="10" t="n"/>
      <c r="P109" s="10" t="n"/>
      <c r="Q109" s="29">
        <f>IF($A109="","",IF($P109="YES",IF($O109="Bob",$N109,-$N109),0))</f>
        <v/>
      </c>
      <c r="R109" s="30">
        <f>IF($A109="","",IF(ROUND($S109,2)&gt;0,"Olivia pays Bob "&amp;TEXT($S109,"#,##0.00"),IF(ROUND($S109,2)&lt;0,"Bob pays Olivia "&amp;TEXT(-$S109,"#,##0.00"),"Nothing owed")))</f>
        <v/>
      </c>
      <c r="S109" s="31">
        <f>IF($A109="","",$L109-$M109+$Q109)</f>
        <v/>
      </c>
    </row>
    <row r="110" ht="17" customHeight="1">
      <c r="A110" s="26" t="n"/>
      <c r="B110" s="27" t="n"/>
      <c r="C110" s="27" t="n"/>
      <c r="D110" s="27" t="n"/>
      <c r="E110" s="27" t="n"/>
      <c r="F110" s="27" t="n"/>
      <c r="G110" s="27" t="n"/>
      <c r="H110" s="28">
        <f>IF($A110="","",SUM($B110:$G110))</f>
        <v/>
      </c>
      <c r="I110" s="29">
        <f>IF($A110="","",Rates!$C$6)</f>
        <v/>
      </c>
      <c r="J110" s="29">
        <f>IF($A110="","",Rates!$C$7)</f>
        <v/>
      </c>
      <c r="K110" s="29">
        <f>IF($A110="","",Rates!$C$8)</f>
        <v/>
      </c>
      <c r="L110" s="29">
        <f>IF($A110="","",($B110+$C110)*$I110)</f>
        <v/>
      </c>
      <c r="M110" s="29">
        <f>IF($A110="","",$G110*$J110+($E110+$F110+$G110)*$K110)</f>
        <v/>
      </c>
      <c r="N110" s="20" t="n"/>
      <c r="O110" s="10" t="n"/>
      <c r="P110" s="10" t="n"/>
      <c r="Q110" s="29">
        <f>IF($A110="","",IF($P110="YES",IF($O110="Bob",$N110,-$N110),0))</f>
        <v/>
      </c>
      <c r="R110" s="30">
        <f>IF($A110="","",IF(ROUND($S110,2)&gt;0,"Olivia pays Bob "&amp;TEXT($S110,"#,##0.00"),IF(ROUND($S110,2)&lt;0,"Bob pays Olivia "&amp;TEXT(-$S110,"#,##0.00"),"Nothing owed")))</f>
        <v/>
      </c>
      <c r="S110" s="31">
        <f>IF($A110="","",$L110-$M110+$Q110)</f>
        <v/>
      </c>
    </row>
    <row r="111" ht="17" customHeight="1">
      <c r="A111" s="26" t="n"/>
      <c r="B111" s="27" t="n"/>
      <c r="C111" s="27" t="n"/>
      <c r="D111" s="27" t="n"/>
      <c r="E111" s="27" t="n"/>
      <c r="F111" s="27" t="n"/>
      <c r="G111" s="27" t="n"/>
      <c r="H111" s="28">
        <f>IF($A111="","",SUM($B111:$G111))</f>
        <v/>
      </c>
      <c r="I111" s="29">
        <f>IF($A111="","",Rates!$C$6)</f>
        <v/>
      </c>
      <c r="J111" s="29">
        <f>IF($A111="","",Rates!$C$7)</f>
        <v/>
      </c>
      <c r="K111" s="29">
        <f>IF($A111="","",Rates!$C$8)</f>
        <v/>
      </c>
      <c r="L111" s="29">
        <f>IF($A111="","",($B111+$C111)*$I111)</f>
        <v/>
      </c>
      <c r="M111" s="29">
        <f>IF($A111="","",$G111*$J111+($E111+$F111+$G111)*$K111)</f>
        <v/>
      </c>
      <c r="N111" s="20" t="n"/>
      <c r="O111" s="10" t="n"/>
      <c r="P111" s="10" t="n"/>
      <c r="Q111" s="29">
        <f>IF($A111="","",IF($P111="YES",IF($O111="Bob",$N111,-$N111),0))</f>
        <v/>
      </c>
      <c r="R111" s="30">
        <f>IF($A111="","",IF(ROUND($S111,2)&gt;0,"Olivia pays Bob "&amp;TEXT($S111,"#,##0.00"),IF(ROUND($S111,2)&lt;0,"Bob pays Olivia "&amp;TEXT(-$S111,"#,##0.00"),"Nothing owed")))</f>
        <v/>
      </c>
      <c r="S111" s="31">
        <f>IF($A111="","",$L111-$M111+$Q111)</f>
        <v/>
      </c>
    </row>
    <row r="112" ht="17" customHeight="1">
      <c r="A112" s="26" t="n"/>
      <c r="B112" s="27" t="n"/>
      <c r="C112" s="27" t="n"/>
      <c r="D112" s="27" t="n"/>
      <c r="E112" s="27" t="n"/>
      <c r="F112" s="27" t="n"/>
      <c r="G112" s="27" t="n"/>
      <c r="H112" s="28">
        <f>IF($A112="","",SUM($B112:$G112))</f>
        <v/>
      </c>
      <c r="I112" s="29">
        <f>IF($A112="","",Rates!$C$6)</f>
        <v/>
      </c>
      <c r="J112" s="29">
        <f>IF($A112="","",Rates!$C$7)</f>
        <v/>
      </c>
      <c r="K112" s="29">
        <f>IF($A112="","",Rates!$C$8)</f>
        <v/>
      </c>
      <c r="L112" s="29">
        <f>IF($A112="","",($B112+$C112)*$I112)</f>
        <v/>
      </c>
      <c r="M112" s="29">
        <f>IF($A112="","",$G112*$J112+($E112+$F112+$G112)*$K112)</f>
        <v/>
      </c>
      <c r="N112" s="20" t="n"/>
      <c r="O112" s="10" t="n"/>
      <c r="P112" s="10" t="n"/>
      <c r="Q112" s="29">
        <f>IF($A112="","",IF($P112="YES",IF($O112="Bob",$N112,-$N112),0))</f>
        <v/>
      </c>
      <c r="R112" s="30">
        <f>IF($A112="","",IF(ROUND($S112,2)&gt;0,"Olivia pays Bob "&amp;TEXT($S112,"#,##0.00"),IF(ROUND($S112,2)&lt;0,"Bob pays Olivia "&amp;TEXT(-$S112,"#,##0.00"),"Nothing owed")))</f>
        <v/>
      </c>
      <c r="S112" s="31">
        <f>IF($A112="","",$L112-$M112+$Q112)</f>
        <v/>
      </c>
    </row>
    <row r="113" ht="17" customHeight="1">
      <c r="A113" s="26" t="n"/>
      <c r="B113" s="27" t="n"/>
      <c r="C113" s="27" t="n"/>
      <c r="D113" s="27" t="n"/>
      <c r="E113" s="27" t="n"/>
      <c r="F113" s="27" t="n"/>
      <c r="G113" s="27" t="n"/>
      <c r="H113" s="28">
        <f>IF($A113="","",SUM($B113:$G113))</f>
        <v/>
      </c>
      <c r="I113" s="29">
        <f>IF($A113="","",Rates!$C$6)</f>
        <v/>
      </c>
      <c r="J113" s="29">
        <f>IF($A113="","",Rates!$C$7)</f>
        <v/>
      </c>
      <c r="K113" s="29">
        <f>IF($A113="","",Rates!$C$8)</f>
        <v/>
      </c>
      <c r="L113" s="29">
        <f>IF($A113="","",($B113+$C113)*$I113)</f>
        <v/>
      </c>
      <c r="M113" s="29">
        <f>IF($A113="","",$G113*$J113+($E113+$F113+$G113)*$K113)</f>
        <v/>
      </c>
      <c r="N113" s="20" t="n"/>
      <c r="O113" s="10" t="n"/>
      <c r="P113" s="10" t="n"/>
      <c r="Q113" s="29">
        <f>IF($A113="","",IF($P113="YES",IF($O113="Bob",$N113,-$N113),0))</f>
        <v/>
      </c>
      <c r="R113" s="30">
        <f>IF($A113="","",IF(ROUND($S113,2)&gt;0,"Olivia pays Bob "&amp;TEXT($S113,"#,##0.00"),IF(ROUND($S113,2)&lt;0,"Bob pays Olivia "&amp;TEXT(-$S113,"#,##0.00"),"Nothing owed")))</f>
        <v/>
      </c>
      <c r="S113" s="31">
        <f>IF($A113="","",$L113-$M113+$Q113)</f>
        <v/>
      </c>
    </row>
    <row r="114" ht="17" customHeight="1">
      <c r="A114" s="26" t="n"/>
      <c r="B114" s="27" t="n"/>
      <c r="C114" s="27" t="n"/>
      <c r="D114" s="27" t="n"/>
      <c r="E114" s="27" t="n"/>
      <c r="F114" s="27" t="n"/>
      <c r="G114" s="27" t="n"/>
      <c r="H114" s="28">
        <f>IF($A114="","",SUM($B114:$G114))</f>
        <v/>
      </c>
      <c r="I114" s="29">
        <f>IF($A114="","",Rates!$C$6)</f>
        <v/>
      </c>
      <c r="J114" s="29">
        <f>IF($A114="","",Rates!$C$7)</f>
        <v/>
      </c>
      <c r="K114" s="29">
        <f>IF($A114="","",Rates!$C$8)</f>
        <v/>
      </c>
      <c r="L114" s="29">
        <f>IF($A114="","",($B114+$C114)*$I114)</f>
        <v/>
      </c>
      <c r="M114" s="29">
        <f>IF($A114="","",$G114*$J114+($E114+$F114+$G114)*$K114)</f>
        <v/>
      </c>
      <c r="N114" s="20" t="n"/>
      <c r="O114" s="10" t="n"/>
      <c r="P114" s="10" t="n"/>
      <c r="Q114" s="29">
        <f>IF($A114="","",IF($P114="YES",IF($O114="Bob",$N114,-$N114),0))</f>
        <v/>
      </c>
      <c r="R114" s="30">
        <f>IF($A114="","",IF(ROUND($S114,2)&gt;0,"Olivia pays Bob "&amp;TEXT($S114,"#,##0.00"),IF(ROUND($S114,2)&lt;0,"Bob pays Olivia "&amp;TEXT(-$S114,"#,##0.00"),"Nothing owed")))</f>
        <v/>
      </c>
      <c r="S114" s="31">
        <f>IF($A114="","",$L114-$M114+$Q114)</f>
        <v/>
      </c>
    </row>
    <row r="115" ht="17" customHeight="1">
      <c r="A115" s="26" t="n"/>
      <c r="B115" s="27" t="n"/>
      <c r="C115" s="27" t="n"/>
      <c r="D115" s="27" t="n"/>
      <c r="E115" s="27" t="n"/>
      <c r="F115" s="27" t="n"/>
      <c r="G115" s="27" t="n"/>
      <c r="H115" s="28">
        <f>IF($A115="","",SUM($B115:$G115))</f>
        <v/>
      </c>
      <c r="I115" s="29">
        <f>IF($A115="","",Rates!$C$6)</f>
        <v/>
      </c>
      <c r="J115" s="29">
        <f>IF($A115="","",Rates!$C$7)</f>
        <v/>
      </c>
      <c r="K115" s="29">
        <f>IF($A115="","",Rates!$C$8)</f>
        <v/>
      </c>
      <c r="L115" s="29">
        <f>IF($A115="","",($B115+$C115)*$I115)</f>
        <v/>
      </c>
      <c r="M115" s="29">
        <f>IF($A115="","",$G115*$J115+($E115+$F115+$G115)*$K115)</f>
        <v/>
      </c>
      <c r="N115" s="20" t="n"/>
      <c r="O115" s="10" t="n"/>
      <c r="P115" s="10" t="n"/>
      <c r="Q115" s="29">
        <f>IF($A115="","",IF($P115="YES",IF($O115="Bob",$N115,-$N115),0))</f>
        <v/>
      </c>
      <c r="R115" s="30">
        <f>IF($A115="","",IF(ROUND($S115,2)&gt;0,"Olivia pays Bob "&amp;TEXT($S115,"#,##0.00"),IF(ROUND($S115,2)&lt;0,"Bob pays Olivia "&amp;TEXT(-$S115,"#,##0.00"),"Nothing owed")))</f>
        <v/>
      </c>
      <c r="S115" s="31">
        <f>IF($A115="","",$L115-$M115+$Q115)</f>
        <v/>
      </c>
    </row>
    <row r="116" ht="17" customHeight="1">
      <c r="A116" s="26" t="n"/>
      <c r="B116" s="27" t="n"/>
      <c r="C116" s="27" t="n"/>
      <c r="D116" s="27" t="n"/>
      <c r="E116" s="27" t="n"/>
      <c r="F116" s="27" t="n"/>
      <c r="G116" s="27" t="n"/>
      <c r="H116" s="28">
        <f>IF($A116="","",SUM($B116:$G116))</f>
        <v/>
      </c>
      <c r="I116" s="29">
        <f>IF($A116="","",Rates!$C$6)</f>
        <v/>
      </c>
      <c r="J116" s="29">
        <f>IF($A116="","",Rates!$C$7)</f>
        <v/>
      </c>
      <c r="K116" s="29">
        <f>IF($A116="","",Rates!$C$8)</f>
        <v/>
      </c>
      <c r="L116" s="29">
        <f>IF($A116="","",($B116+$C116)*$I116)</f>
        <v/>
      </c>
      <c r="M116" s="29">
        <f>IF($A116="","",$G116*$J116+($E116+$F116+$G116)*$K116)</f>
        <v/>
      </c>
      <c r="N116" s="20" t="n"/>
      <c r="O116" s="10" t="n"/>
      <c r="P116" s="10" t="n"/>
      <c r="Q116" s="29">
        <f>IF($A116="","",IF($P116="YES",IF($O116="Bob",$N116,-$N116),0))</f>
        <v/>
      </c>
      <c r="R116" s="30">
        <f>IF($A116="","",IF(ROUND($S116,2)&gt;0,"Olivia pays Bob "&amp;TEXT($S116,"#,##0.00"),IF(ROUND($S116,2)&lt;0,"Bob pays Olivia "&amp;TEXT(-$S116,"#,##0.00"),"Nothing owed")))</f>
        <v/>
      </c>
      <c r="S116" s="31">
        <f>IF($A116="","",$L116-$M116+$Q116)</f>
        <v/>
      </c>
    </row>
    <row r="117" ht="17" customHeight="1">
      <c r="A117" s="26" t="n"/>
      <c r="B117" s="27" t="n"/>
      <c r="C117" s="27" t="n"/>
      <c r="D117" s="27" t="n"/>
      <c r="E117" s="27" t="n"/>
      <c r="F117" s="27" t="n"/>
      <c r="G117" s="27" t="n"/>
      <c r="H117" s="28">
        <f>IF($A117="","",SUM($B117:$G117))</f>
        <v/>
      </c>
      <c r="I117" s="29">
        <f>IF($A117="","",Rates!$C$6)</f>
        <v/>
      </c>
      <c r="J117" s="29">
        <f>IF($A117="","",Rates!$C$7)</f>
        <v/>
      </c>
      <c r="K117" s="29">
        <f>IF($A117="","",Rates!$C$8)</f>
        <v/>
      </c>
      <c r="L117" s="29">
        <f>IF($A117="","",($B117+$C117)*$I117)</f>
        <v/>
      </c>
      <c r="M117" s="29">
        <f>IF($A117="","",$G117*$J117+($E117+$F117+$G117)*$K117)</f>
        <v/>
      </c>
      <c r="N117" s="20" t="n"/>
      <c r="O117" s="10" t="n"/>
      <c r="P117" s="10" t="n"/>
      <c r="Q117" s="29">
        <f>IF($A117="","",IF($P117="YES",IF($O117="Bob",$N117,-$N117),0))</f>
        <v/>
      </c>
      <c r="R117" s="30">
        <f>IF($A117="","",IF(ROUND($S117,2)&gt;0,"Olivia pays Bob "&amp;TEXT($S117,"#,##0.00"),IF(ROUND($S117,2)&lt;0,"Bob pays Olivia "&amp;TEXT(-$S117,"#,##0.00"),"Nothing owed")))</f>
        <v/>
      </c>
      <c r="S117" s="31">
        <f>IF($A117="","",$L117-$M117+$Q117)</f>
        <v/>
      </c>
    </row>
    <row r="118" ht="17" customHeight="1">
      <c r="A118" s="26" t="n"/>
      <c r="B118" s="27" t="n"/>
      <c r="C118" s="27" t="n"/>
      <c r="D118" s="27" t="n"/>
      <c r="E118" s="27" t="n"/>
      <c r="F118" s="27" t="n"/>
      <c r="G118" s="27" t="n"/>
      <c r="H118" s="28">
        <f>IF($A118="","",SUM($B118:$G118))</f>
        <v/>
      </c>
      <c r="I118" s="29">
        <f>IF($A118="","",Rates!$C$6)</f>
        <v/>
      </c>
      <c r="J118" s="29">
        <f>IF($A118="","",Rates!$C$7)</f>
        <v/>
      </c>
      <c r="K118" s="29">
        <f>IF($A118="","",Rates!$C$8)</f>
        <v/>
      </c>
      <c r="L118" s="29">
        <f>IF($A118="","",($B118+$C118)*$I118)</f>
        <v/>
      </c>
      <c r="M118" s="29">
        <f>IF($A118="","",$G118*$J118+($E118+$F118+$G118)*$K118)</f>
        <v/>
      </c>
      <c r="N118" s="20" t="n"/>
      <c r="O118" s="10" t="n"/>
      <c r="P118" s="10" t="n"/>
      <c r="Q118" s="29">
        <f>IF($A118="","",IF($P118="YES",IF($O118="Bob",$N118,-$N118),0))</f>
        <v/>
      </c>
      <c r="R118" s="30">
        <f>IF($A118="","",IF(ROUND($S118,2)&gt;0,"Olivia pays Bob "&amp;TEXT($S118,"#,##0.00"),IF(ROUND($S118,2)&lt;0,"Bob pays Olivia "&amp;TEXT(-$S118,"#,##0.00"),"Nothing owed")))</f>
        <v/>
      </c>
      <c r="S118" s="31">
        <f>IF($A118="","",$L118-$M118+$Q118)</f>
        <v/>
      </c>
    </row>
    <row r="119" ht="17" customHeight="1">
      <c r="A119" s="26" t="n"/>
      <c r="B119" s="27" t="n"/>
      <c r="C119" s="27" t="n"/>
      <c r="D119" s="27" t="n"/>
      <c r="E119" s="27" t="n"/>
      <c r="F119" s="27" t="n"/>
      <c r="G119" s="27" t="n"/>
      <c r="H119" s="28">
        <f>IF($A119="","",SUM($B119:$G119))</f>
        <v/>
      </c>
      <c r="I119" s="29">
        <f>IF($A119="","",Rates!$C$6)</f>
        <v/>
      </c>
      <c r="J119" s="29">
        <f>IF($A119="","",Rates!$C$7)</f>
        <v/>
      </c>
      <c r="K119" s="29">
        <f>IF($A119="","",Rates!$C$8)</f>
        <v/>
      </c>
      <c r="L119" s="29">
        <f>IF($A119="","",($B119+$C119)*$I119)</f>
        <v/>
      </c>
      <c r="M119" s="29">
        <f>IF($A119="","",$G119*$J119+($E119+$F119+$G119)*$K119)</f>
        <v/>
      </c>
      <c r="N119" s="20" t="n"/>
      <c r="O119" s="10" t="n"/>
      <c r="P119" s="10" t="n"/>
      <c r="Q119" s="29">
        <f>IF($A119="","",IF($P119="YES",IF($O119="Bob",$N119,-$N119),0))</f>
        <v/>
      </c>
      <c r="R119" s="30">
        <f>IF($A119="","",IF(ROUND($S119,2)&gt;0,"Olivia pays Bob "&amp;TEXT($S119,"#,##0.00"),IF(ROUND($S119,2)&lt;0,"Bob pays Olivia "&amp;TEXT(-$S119,"#,##0.00"),"Nothing owed")))</f>
        <v/>
      </c>
      <c r="S119" s="31">
        <f>IF($A119="","",$L119-$M119+$Q119)</f>
        <v/>
      </c>
    </row>
    <row r="120" ht="17" customHeight="1">
      <c r="A120" s="26" t="n"/>
      <c r="B120" s="27" t="n"/>
      <c r="C120" s="27" t="n"/>
      <c r="D120" s="27" t="n"/>
      <c r="E120" s="27" t="n"/>
      <c r="F120" s="27" t="n"/>
      <c r="G120" s="27" t="n"/>
      <c r="H120" s="28">
        <f>IF($A120="","",SUM($B120:$G120))</f>
        <v/>
      </c>
      <c r="I120" s="29">
        <f>IF($A120="","",Rates!$C$6)</f>
        <v/>
      </c>
      <c r="J120" s="29">
        <f>IF($A120="","",Rates!$C$7)</f>
        <v/>
      </c>
      <c r="K120" s="29">
        <f>IF($A120="","",Rates!$C$8)</f>
        <v/>
      </c>
      <c r="L120" s="29">
        <f>IF($A120="","",($B120+$C120)*$I120)</f>
        <v/>
      </c>
      <c r="M120" s="29">
        <f>IF($A120="","",$G120*$J120+($E120+$F120+$G120)*$K120)</f>
        <v/>
      </c>
      <c r="N120" s="20" t="n"/>
      <c r="O120" s="10" t="n"/>
      <c r="P120" s="10" t="n"/>
      <c r="Q120" s="29">
        <f>IF($A120="","",IF($P120="YES",IF($O120="Bob",$N120,-$N120),0))</f>
        <v/>
      </c>
      <c r="R120" s="30">
        <f>IF($A120="","",IF(ROUND($S120,2)&gt;0,"Olivia pays Bob "&amp;TEXT($S120,"#,##0.00"),IF(ROUND($S120,2)&lt;0,"Bob pays Olivia "&amp;TEXT(-$S120,"#,##0.00"),"Nothing owed")))</f>
        <v/>
      </c>
      <c r="S120" s="31">
        <f>IF($A120="","",$L120-$M120+$Q120)</f>
        <v/>
      </c>
    </row>
    <row r="121" ht="17" customHeight="1">
      <c r="A121" s="26" t="n"/>
      <c r="B121" s="27" t="n"/>
      <c r="C121" s="27" t="n"/>
      <c r="D121" s="27" t="n"/>
      <c r="E121" s="27" t="n"/>
      <c r="F121" s="27" t="n"/>
      <c r="G121" s="27" t="n"/>
      <c r="H121" s="28">
        <f>IF($A121="","",SUM($B121:$G121))</f>
        <v/>
      </c>
      <c r="I121" s="29">
        <f>IF($A121="","",Rates!$C$6)</f>
        <v/>
      </c>
      <c r="J121" s="29">
        <f>IF($A121="","",Rates!$C$7)</f>
        <v/>
      </c>
      <c r="K121" s="29">
        <f>IF($A121="","",Rates!$C$8)</f>
        <v/>
      </c>
      <c r="L121" s="29">
        <f>IF($A121="","",($B121+$C121)*$I121)</f>
        <v/>
      </c>
      <c r="M121" s="29">
        <f>IF($A121="","",$G121*$J121+($E121+$F121+$G121)*$K121)</f>
        <v/>
      </c>
      <c r="N121" s="20" t="n"/>
      <c r="O121" s="10" t="n"/>
      <c r="P121" s="10" t="n"/>
      <c r="Q121" s="29">
        <f>IF($A121="","",IF($P121="YES",IF($O121="Bob",$N121,-$N121),0))</f>
        <v/>
      </c>
      <c r="R121" s="30">
        <f>IF($A121="","",IF(ROUND($S121,2)&gt;0,"Olivia pays Bob "&amp;TEXT($S121,"#,##0.00"),IF(ROUND($S121,2)&lt;0,"Bob pays Olivia "&amp;TEXT(-$S121,"#,##0.00"),"Nothing owed")))</f>
        <v/>
      </c>
      <c r="S121" s="31">
        <f>IF($A121="","",$L121-$M121+$Q121)</f>
        <v/>
      </c>
    </row>
    <row r="122" ht="17" customHeight="1">
      <c r="A122" s="26" t="n"/>
      <c r="B122" s="27" t="n"/>
      <c r="C122" s="27" t="n"/>
      <c r="D122" s="27" t="n"/>
      <c r="E122" s="27" t="n"/>
      <c r="F122" s="27" t="n"/>
      <c r="G122" s="27" t="n"/>
      <c r="H122" s="28">
        <f>IF($A122="","",SUM($B122:$G122))</f>
        <v/>
      </c>
      <c r="I122" s="29">
        <f>IF($A122="","",Rates!$C$6)</f>
        <v/>
      </c>
      <c r="J122" s="29">
        <f>IF($A122="","",Rates!$C$7)</f>
        <v/>
      </c>
      <c r="K122" s="29">
        <f>IF($A122="","",Rates!$C$8)</f>
        <v/>
      </c>
      <c r="L122" s="29">
        <f>IF($A122="","",($B122+$C122)*$I122)</f>
        <v/>
      </c>
      <c r="M122" s="29">
        <f>IF($A122="","",$G122*$J122+($E122+$F122+$G122)*$K122)</f>
        <v/>
      </c>
      <c r="N122" s="20" t="n"/>
      <c r="O122" s="10" t="n"/>
      <c r="P122" s="10" t="n"/>
      <c r="Q122" s="29">
        <f>IF($A122="","",IF($P122="YES",IF($O122="Bob",$N122,-$N122),0))</f>
        <v/>
      </c>
      <c r="R122" s="30">
        <f>IF($A122="","",IF(ROUND($S122,2)&gt;0,"Olivia pays Bob "&amp;TEXT($S122,"#,##0.00"),IF(ROUND($S122,2)&lt;0,"Bob pays Olivia "&amp;TEXT(-$S122,"#,##0.00"),"Nothing owed")))</f>
        <v/>
      </c>
      <c r="S122" s="31">
        <f>IF($A122="","",$L122-$M122+$Q122)</f>
        <v/>
      </c>
    </row>
    <row r="123" ht="17" customHeight="1">
      <c r="A123" s="26" t="n"/>
      <c r="B123" s="27" t="n"/>
      <c r="C123" s="27" t="n"/>
      <c r="D123" s="27" t="n"/>
      <c r="E123" s="27" t="n"/>
      <c r="F123" s="27" t="n"/>
      <c r="G123" s="27" t="n"/>
      <c r="H123" s="28">
        <f>IF($A123="","",SUM($B123:$G123))</f>
        <v/>
      </c>
      <c r="I123" s="29">
        <f>IF($A123="","",Rates!$C$6)</f>
        <v/>
      </c>
      <c r="J123" s="29">
        <f>IF($A123="","",Rates!$C$7)</f>
        <v/>
      </c>
      <c r="K123" s="29">
        <f>IF($A123="","",Rates!$C$8)</f>
        <v/>
      </c>
      <c r="L123" s="29">
        <f>IF($A123="","",($B123+$C123)*$I123)</f>
        <v/>
      </c>
      <c r="M123" s="29">
        <f>IF($A123="","",$G123*$J123+($E123+$F123+$G123)*$K123)</f>
        <v/>
      </c>
      <c r="N123" s="20" t="n"/>
      <c r="O123" s="10" t="n"/>
      <c r="P123" s="10" t="n"/>
      <c r="Q123" s="29">
        <f>IF($A123="","",IF($P123="YES",IF($O123="Bob",$N123,-$N123),0))</f>
        <v/>
      </c>
      <c r="R123" s="30">
        <f>IF($A123="","",IF(ROUND($S123,2)&gt;0,"Olivia pays Bob "&amp;TEXT($S123,"#,##0.00"),IF(ROUND($S123,2)&lt;0,"Bob pays Olivia "&amp;TEXT(-$S123,"#,##0.00"),"Nothing owed")))</f>
        <v/>
      </c>
      <c r="S123" s="31">
        <f>IF($A123="","",$L123-$M123+$Q123)</f>
        <v/>
      </c>
    </row>
    <row r="124" ht="17" customHeight="1">
      <c r="A124" s="26" t="n"/>
      <c r="B124" s="27" t="n"/>
      <c r="C124" s="27" t="n"/>
      <c r="D124" s="27" t="n"/>
      <c r="E124" s="27" t="n"/>
      <c r="F124" s="27" t="n"/>
      <c r="G124" s="27" t="n"/>
      <c r="H124" s="28">
        <f>IF($A124="","",SUM($B124:$G124))</f>
        <v/>
      </c>
      <c r="I124" s="29">
        <f>IF($A124="","",Rates!$C$6)</f>
        <v/>
      </c>
      <c r="J124" s="29">
        <f>IF($A124="","",Rates!$C$7)</f>
        <v/>
      </c>
      <c r="K124" s="29">
        <f>IF($A124="","",Rates!$C$8)</f>
        <v/>
      </c>
      <c r="L124" s="29">
        <f>IF($A124="","",($B124+$C124)*$I124)</f>
        <v/>
      </c>
      <c r="M124" s="29">
        <f>IF($A124="","",$G124*$J124+($E124+$F124+$G124)*$K124)</f>
        <v/>
      </c>
      <c r="N124" s="20" t="n"/>
      <c r="O124" s="10" t="n"/>
      <c r="P124" s="10" t="n"/>
      <c r="Q124" s="29">
        <f>IF($A124="","",IF($P124="YES",IF($O124="Bob",$N124,-$N124),0))</f>
        <v/>
      </c>
      <c r="R124" s="30">
        <f>IF($A124="","",IF(ROUND($S124,2)&gt;0,"Olivia pays Bob "&amp;TEXT($S124,"#,##0.00"),IF(ROUND($S124,2)&lt;0,"Bob pays Olivia "&amp;TEXT(-$S124,"#,##0.00"),"Nothing owed")))</f>
        <v/>
      </c>
      <c r="S124" s="31">
        <f>IF($A124="","",$L124-$M124+$Q124)</f>
        <v/>
      </c>
    </row>
    <row r="125" ht="17" customHeight="1">
      <c r="A125" s="26" t="n"/>
      <c r="B125" s="27" t="n"/>
      <c r="C125" s="27" t="n"/>
      <c r="D125" s="27" t="n"/>
      <c r="E125" s="27" t="n"/>
      <c r="F125" s="27" t="n"/>
      <c r="G125" s="27" t="n"/>
      <c r="H125" s="28">
        <f>IF($A125="","",SUM($B125:$G125))</f>
        <v/>
      </c>
      <c r="I125" s="29">
        <f>IF($A125="","",Rates!$C$6)</f>
        <v/>
      </c>
      <c r="J125" s="29">
        <f>IF($A125="","",Rates!$C$7)</f>
        <v/>
      </c>
      <c r="K125" s="29">
        <f>IF($A125="","",Rates!$C$8)</f>
        <v/>
      </c>
      <c r="L125" s="29">
        <f>IF($A125="","",($B125+$C125)*$I125)</f>
        <v/>
      </c>
      <c r="M125" s="29">
        <f>IF($A125="","",$G125*$J125+($E125+$F125+$G125)*$K125)</f>
        <v/>
      </c>
      <c r="N125" s="20" t="n"/>
      <c r="O125" s="10" t="n"/>
      <c r="P125" s="10" t="n"/>
      <c r="Q125" s="29">
        <f>IF($A125="","",IF($P125="YES",IF($O125="Bob",$N125,-$N125),0))</f>
        <v/>
      </c>
      <c r="R125" s="30">
        <f>IF($A125="","",IF(ROUND($S125,2)&gt;0,"Olivia pays Bob "&amp;TEXT($S125,"#,##0.00"),IF(ROUND($S125,2)&lt;0,"Bob pays Olivia "&amp;TEXT(-$S125,"#,##0.00"),"Nothing owed")))</f>
        <v/>
      </c>
      <c r="S125" s="31">
        <f>IF($A125="","",$L125-$M125+$Q125)</f>
        <v/>
      </c>
    </row>
    <row r="126" ht="17" customHeight="1">
      <c r="A126" s="26" t="n"/>
      <c r="B126" s="27" t="n"/>
      <c r="C126" s="27" t="n"/>
      <c r="D126" s="27" t="n"/>
      <c r="E126" s="27" t="n"/>
      <c r="F126" s="27" t="n"/>
      <c r="G126" s="27" t="n"/>
      <c r="H126" s="28">
        <f>IF($A126="","",SUM($B126:$G126))</f>
        <v/>
      </c>
      <c r="I126" s="29">
        <f>IF($A126="","",Rates!$C$6)</f>
        <v/>
      </c>
      <c r="J126" s="29">
        <f>IF($A126="","",Rates!$C$7)</f>
        <v/>
      </c>
      <c r="K126" s="29">
        <f>IF($A126="","",Rates!$C$8)</f>
        <v/>
      </c>
      <c r="L126" s="29">
        <f>IF($A126="","",($B126+$C126)*$I126)</f>
        <v/>
      </c>
      <c r="M126" s="29">
        <f>IF($A126="","",$G126*$J126+($E126+$F126+$G126)*$K126)</f>
        <v/>
      </c>
      <c r="N126" s="20" t="n"/>
      <c r="O126" s="10" t="n"/>
      <c r="P126" s="10" t="n"/>
      <c r="Q126" s="29">
        <f>IF($A126="","",IF($P126="YES",IF($O126="Bob",$N126,-$N126),0))</f>
        <v/>
      </c>
      <c r="R126" s="30">
        <f>IF($A126="","",IF(ROUND($S126,2)&gt;0,"Olivia pays Bob "&amp;TEXT($S126,"#,##0.00"),IF(ROUND($S126,2)&lt;0,"Bob pays Olivia "&amp;TEXT(-$S126,"#,##0.00"),"Nothing owed")))</f>
        <v/>
      </c>
      <c r="S126" s="31">
        <f>IF($A126="","",$L126-$M126+$Q126)</f>
        <v/>
      </c>
    </row>
    <row r="127" ht="17" customHeight="1">
      <c r="A127" s="26" t="n"/>
      <c r="B127" s="27" t="n"/>
      <c r="C127" s="27" t="n"/>
      <c r="D127" s="27" t="n"/>
      <c r="E127" s="27" t="n"/>
      <c r="F127" s="27" t="n"/>
      <c r="G127" s="27" t="n"/>
      <c r="H127" s="28">
        <f>IF($A127="","",SUM($B127:$G127))</f>
        <v/>
      </c>
      <c r="I127" s="29">
        <f>IF($A127="","",Rates!$C$6)</f>
        <v/>
      </c>
      <c r="J127" s="29">
        <f>IF($A127="","",Rates!$C$7)</f>
        <v/>
      </c>
      <c r="K127" s="29">
        <f>IF($A127="","",Rates!$C$8)</f>
        <v/>
      </c>
      <c r="L127" s="29">
        <f>IF($A127="","",($B127+$C127)*$I127)</f>
        <v/>
      </c>
      <c r="M127" s="29">
        <f>IF($A127="","",$G127*$J127+($E127+$F127+$G127)*$K127)</f>
        <v/>
      </c>
      <c r="N127" s="20" t="n"/>
      <c r="O127" s="10" t="n"/>
      <c r="P127" s="10" t="n"/>
      <c r="Q127" s="29">
        <f>IF($A127="","",IF($P127="YES",IF($O127="Bob",$N127,-$N127),0))</f>
        <v/>
      </c>
      <c r="R127" s="30">
        <f>IF($A127="","",IF(ROUND($S127,2)&gt;0,"Olivia pays Bob "&amp;TEXT($S127,"#,##0.00"),IF(ROUND($S127,2)&lt;0,"Bob pays Olivia "&amp;TEXT(-$S127,"#,##0.00"),"Nothing owed")))</f>
        <v/>
      </c>
      <c r="S127" s="31">
        <f>IF($A127="","",$L127-$M127+$Q127)</f>
        <v/>
      </c>
    </row>
    <row r="128" ht="17" customHeight="1">
      <c r="A128" s="26" t="n"/>
      <c r="B128" s="27" t="n"/>
      <c r="C128" s="27" t="n"/>
      <c r="D128" s="27" t="n"/>
      <c r="E128" s="27" t="n"/>
      <c r="F128" s="27" t="n"/>
      <c r="G128" s="27" t="n"/>
      <c r="H128" s="28">
        <f>IF($A128="","",SUM($B128:$G128))</f>
        <v/>
      </c>
      <c r="I128" s="29">
        <f>IF($A128="","",Rates!$C$6)</f>
        <v/>
      </c>
      <c r="J128" s="29">
        <f>IF($A128="","",Rates!$C$7)</f>
        <v/>
      </c>
      <c r="K128" s="29">
        <f>IF($A128="","",Rates!$C$8)</f>
        <v/>
      </c>
      <c r="L128" s="29">
        <f>IF($A128="","",($B128+$C128)*$I128)</f>
        <v/>
      </c>
      <c r="M128" s="29">
        <f>IF($A128="","",$G128*$J128+($E128+$F128+$G128)*$K128)</f>
        <v/>
      </c>
      <c r="N128" s="20" t="n"/>
      <c r="O128" s="10" t="n"/>
      <c r="P128" s="10" t="n"/>
      <c r="Q128" s="29">
        <f>IF($A128="","",IF($P128="YES",IF($O128="Bob",$N128,-$N128),0))</f>
        <v/>
      </c>
      <c r="R128" s="30">
        <f>IF($A128="","",IF(ROUND($S128,2)&gt;0,"Olivia pays Bob "&amp;TEXT($S128,"#,##0.00"),IF(ROUND($S128,2)&lt;0,"Bob pays Olivia "&amp;TEXT(-$S128,"#,##0.00"),"Nothing owed")))</f>
        <v/>
      </c>
      <c r="S128" s="31">
        <f>IF($A128="","",$L128-$M128+$Q128)</f>
        <v/>
      </c>
    </row>
    <row r="129" ht="17" customHeight="1">
      <c r="A129" s="26" t="n"/>
      <c r="B129" s="27" t="n"/>
      <c r="C129" s="27" t="n"/>
      <c r="D129" s="27" t="n"/>
      <c r="E129" s="27" t="n"/>
      <c r="F129" s="27" t="n"/>
      <c r="G129" s="27" t="n"/>
      <c r="H129" s="28">
        <f>IF($A129="","",SUM($B129:$G129))</f>
        <v/>
      </c>
      <c r="I129" s="29">
        <f>IF($A129="","",Rates!$C$6)</f>
        <v/>
      </c>
      <c r="J129" s="29">
        <f>IF($A129="","",Rates!$C$7)</f>
        <v/>
      </c>
      <c r="K129" s="29">
        <f>IF($A129="","",Rates!$C$8)</f>
        <v/>
      </c>
      <c r="L129" s="29">
        <f>IF($A129="","",($B129+$C129)*$I129)</f>
        <v/>
      </c>
      <c r="M129" s="29">
        <f>IF($A129="","",$G129*$J129+($E129+$F129+$G129)*$K129)</f>
        <v/>
      </c>
      <c r="N129" s="20" t="n"/>
      <c r="O129" s="10" t="n"/>
      <c r="P129" s="10" t="n"/>
      <c r="Q129" s="29">
        <f>IF($A129="","",IF($P129="YES",IF($O129="Bob",$N129,-$N129),0))</f>
        <v/>
      </c>
      <c r="R129" s="30">
        <f>IF($A129="","",IF(ROUND($S129,2)&gt;0,"Olivia pays Bob "&amp;TEXT($S129,"#,##0.00"),IF(ROUND($S129,2)&lt;0,"Bob pays Olivia "&amp;TEXT(-$S129,"#,##0.00"),"Nothing owed")))</f>
        <v/>
      </c>
      <c r="S129" s="31">
        <f>IF($A129="","",$L129-$M129+$Q129)</f>
        <v/>
      </c>
    </row>
    <row r="130" ht="17" customHeight="1">
      <c r="A130" s="26" t="n"/>
      <c r="B130" s="27" t="n"/>
      <c r="C130" s="27" t="n"/>
      <c r="D130" s="27" t="n"/>
      <c r="E130" s="27" t="n"/>
      <c r="F130" s="27" t="n"/>
      <c r="G130" s="27" t="n"/>
      <c r="H130" s="28">
        <f>IF($A130="","",SUM($B130:$G130))</f>
        <v/>
      </c>
      <c r="I130" s="29">
        <f>IF($A130="","",Rates!$C$6)</f>
        <v/>
      </c>
      <c r="J130" s="29">
        <f>IF($A130="","",Rates!$C$7)</f>
        <v/>
      </c>
      <c r="K130" s="29">
        <f>IF($A130="","",Rates!$C$8)</f>
        <v/>
      </c>
      <c r="L130" s="29">
        <f>IF($A130="","",($B130+$C130)*$I130)</f>
        <v/>
      </c>
      <c r="M130" s="29">
        <f>IF($A130="","",$G130*$J130+($E130+$F130+$G130)*$K130)</f>
        <v/>
      </c>
      <c r="N130" s="20" t="n"/>
      <c r="O130" s="10" t="n"/>
      <c r="P130" s="10" t="n"/>
      <c r="Q130" s="29">
        <f>IF($A130="","",IF($P130="YES",IF($O130="Bob",$N130,-$N130),0))</f>
        <v/>
      </c>
      <c r="R130" s="30">
        <f>IF($A130="","",IF(ROUND($S130,2)&gt;0,"Olivia pays Bob "&amp;TEXT($S130,"#,##0.00"),IF(ROUND($S130,2)&lt;0,"Bob pays Olivia "&amp;TEXT(-$S130,"#,##0.00"),"Nothing owed")))</f>
        <v/>
      </c>
      <c r="S130" s="31">
        <f>IF($A130="","",$L130-$M130+$Q130)</f>
        <v/>
      </c>
    </row>
    <row r="131" ht="17" customHeight="1">
      <c r="A131" s="26" t="n"/>
      <c r="B131" s="27" t="n"/>
      <c r="C131" s="27" t="n"/>
      <c r="D131" s="27" t="n"/>
      <c r="E131" s="27" t="n"/>
      <c r="F131" s="27" t="n"/>
      <c r="G131" s="27" t="n"/>
      <c r="H131" s="28">
        <f>IF($A131="","",SUM($B131:$G131))</f>
        <v/>
      </c>
      <c r="I131" s="29">
        <f>IF($A131="","",Rates!$C$6)</f>
        <v/>
      </c>
      <c r="J131" s="29">
        <f>IF($A131="","",Rates!$C$7)</f>
        <v/>
      </c>
      <c r="K131" s="29">
        <f>IF($A131="","",Rates!$C$8)</f>
        <v/>
      </c>
      <c r="L131" s="29">
        <f>IF($A131="","",($B131+$C131)*$I131)</f>
        <v/>
      </c>
      <c r="M131" s="29">
        <f>IF($A131="","",$G131*$J131+($E131+$F131+$G131)*$K131)</f>
        <v/>
      </c>
      <c r="N131" s="20" t="n"/>
      <c r="O131" s="10" t="n"/>
      <c r="P131" s="10" t="n"/>
      <c r="Q131" s="29">
        <f>IF($A131="","",IF($P131="YES",IF($O131="Bob",$N131,-$N131),0))</f>
        <v/>
      </c>
      <c r="R131" s="30">
        <f>IF($A131="","",IF(ROUND($S131,2)&gt;0,"Olivia pays Bob "&amp;TEXT($S131,"#,##0.00"),IF(ROUND($S131,2)&lt;0,"Bob pays Olivia "&amp;TEXT(-$S131,"#,##0.00"),"Nothing owed")))</f>
        <v/>
      </c>
      <c r="S131" s="31">
        <f>IF($A131="","",$L131-$M131+$Q131)</f>
        <v/>
      </c>
    </row>
    <row r="132" ht="17" customHeight="1">
      <c r="A132" s="26" t="n"/>
      <c r="B132" s="27" t="n"/>
      <c r="C132" s="27" t="n"/>
      <c r="D132" s="27" t="n"/>
      <c r="E132" s="27" t="n"/>
      <c r="F132" s="27" t="n"/>
      <c r="G132" s="27" t="n"/>
      <c r="H132" s="28">
        <f>IF($A132="","",SUM($B132:$G132))</f>
        <v/>
      </c>
      <c r="I132" s="29">
        <f>IF($A132="","",Rates!$C$6)</f>
        <v/>
      </c>
      <c r="J132" s="29">
        <f>IF($A132="","",Rates!$C$7)</f>
        <v/>
      </c>
      <c r="K132" s="29">
        <f>IF($A132="","",Rates!$C$8)</f>
        <v/>
      </c>
      <c r="L132" s="29">
        <f>IF($A132="","",($B132+$C132)*$I132)</f>
        <v/>
      </c>
      <c r="M132" s="29">
        <f>IF($A132="","",$G132*$J132+($E132+$F132+$G132)*$K132)</f>
        <v/>
      </c>
      <c r="N132" s="20" t="n"/>
      <c r="O132" s="10" t="n"/>
      <c r="P132" s="10" t="n"/>
      <c r="Q132" s="29">
        <f>IF($A132="","",IF($P132="YES",IF($O132="Bob",$N132,-$N132),0))</f>
        <v/>
      </c>
      <c r="R132" s="30">
        <f>IF($A132="","",IF(ROUND($S132,2)&gt;0,"Olivia pays Bob "&amp;TEXT($S132,"#,##0.00"),IF(ROUND($S132,2)&lt;0,"Bob pays Olivia "&amp;TEXT(-$S132,"#,##0.00"),"Nothing owed")))</f>
        <v/>
      </c>
      <c r="S132" s="31">
        <f>IF($A132="","",$L132-$M132+$Q132)</f>
        <v/>
      </c>
    </row>
    <row r="133" ht="17" customHeight="1">
      <c r="A133" s="26" t="n"/>
      <c r="B133" s="27" t="n"/>
      <c r="C133" s="27" t="n"/>
      <c r="D133" s="27" t="n"/>
      <c r="E133" s="27" t="n"/>
      <c r="F133" s="27" t="n"/>
      <c r="G133" s="27" t="n"/>
      <c r="H133" s="28">
        <f>IF($A133="","",SUM($B133:$G133))</f>
        <v/>
      </c>
      <c r="I133" s="29">
        <f>IF($A133="","",Rates!$C$6)</f>
        <v/>
      </c>
      <c r="J133" s="29">
        <f>IF($A133="","",Rates!$C$7)</f>
        <v/>
      </c>
      <c r="K133" s="29">
        <f>IF($A133="","",Rates!$C$8)</f>
        <v/>
      </c>
      <c r="L133" s="29">
        <f>IF($A133="","",($B133+$C133)*$I133)</f>
        <v/>
      </c>
      <c r="M133" s="29">
        <f>IF($A133="","",$G133*$J133+($E133+$F133+$G133)*$K133)</f>
        <v/>
      </c>
      <c r="N133" s="20" t="n"/>
      <c r="O133" s="10" t="n"/>
      <c r="P133" s="10" t="n"/>
      <c r="Q133" s="29">
        <f>IF($A133="","",IF($P133="YES",IF($O133="Bob",$N133,-$N133),0))</f>
        <v/>
      </c>
      <c r="R133" s="30">
        <f>IF($A133="","",IF(ROUND($S133,2)&gt;0,"Olivia pays Bob "&amp;TEXT($S133,"#,##0.00"),IF(ROUND($S133,2)&lt;0,"Bob pays Olivia "&amp;TEXT(-$S133,"#,##0.00"),"Nothing owed")))</f>
        <v/>
      </c>
      <c r="S133" s="31">
        <f>IF($A133="","",$L133-$M133+$Q133)</f>
        <v/>
      </c>
    </row>
    <row r="134" ht="17" customHeight="1">
      <c r="A134" s="26" t="n"/>
      <c r="B134" s="27" t="n"/>
      <c r="C134" s="27" t="n"/>
      <c r="D134" s="27" t="n"/>
      <c r="E134" s="27" t="n"/>
      <c r="F134" s="27" t="n"/>
      <c r="G134" s="27" t="n"/>
      <c r="H134" s="28">
        <f>IF($A134="","",SUM($B134:$G134))</f>
        <v/>
      </c>
      <c r="I134" s="29">
        <f>IF($A134="","",Rates!$C$6)</f>
        <v/>
      </c>
      <c r="J134" s="29">
        <f>IF($A134="","",Rates!$C$7)</f>
        <v/>
      </c>
      <c r="K134" s="29">
        <f>IF($A134="","",Rates!$C$8)</f>
        <v/>
      </c>
      <c r="L134" s="29">
        <f>IF($A134="","",($B134+$C134)*$I134)</f>
        <v/>
      </c>
      <c r="M134" s="29">
        <f>IF($A134="","",$G134*$J134+($E134+$F134+$G134)*$K134)</f>
        <v/>
      </c>
      <c r="N134" s="20" t="n"/>
      <c r="O134" s="10" t="n"/>
      <c r="P134" s="10" t="n"/>
      <c r="Q134" s="29">
        <f>IF($A134="","",IF($P134="YES",IF($O134="Bob",$N134,-$N134),0))</f>
        <v/>
      </c>
      <c r="R134" s="30">
        <f>IF($A134="","",IF(ROUND($S134,2)&gt;0,"Olivia pays Bob "&amp;TEXT($S134,"#,##0.00"),IF(ROUND($S134,2)&lt;0,"Bob pays Olivia "&amp;TEXT(-$S134,"#,##0.00"),"Nothing owed")))</f>
        <v/>
      </c>
      <c r="S134" s="31">
        <f>IF($A134="","",$L134-$M134+$Q134)</f>
        <v/>
      </c>
    </row>
    <row r="135" ht="17" customHeight="1">
      <c r="A135" s="26" t="n"/>
      <c r="B135" s="27" t="n"/>
      <c r="C135" s="27" t="n"/>
      <c r="D135" s="27" t="n"/>
      <c r="E135" s="27" t="n"/>
      <c r="F135" s="27" t="n"/>
      <c r="G135" s="27" t="n"/>
      <c r="H135" s="28">
        <f>IF($A135="","",SUM($B135:$G135))</f>
        <v/>
      </c>
      <c r="I135" s="29">
        <f>IF($A135="","",Rates!$C$6)</f>
        <v/>
      </c>
      <c r="J135" s="29">
        <f>IF($A135="","",Rates!$C$7)</f>
        <v/>
      </c>
      <c r="K135" s="29">
        <f>IF($A135="","",Rates!$C$8)</f>
        <v/>
      </c>
      <c r="L135" s="29">
        <f>IF($A135="","",($B135+$C135)*$I135)</f>
        <v/>
      </c>
      <c r="M135" s="29">
        <f>IF($A135="","",$G135*$J135+($E135+$F135+$G135)*$K135)</f>
        <v/>
      </c>
      <c r="N135" s="20" t="n"/>
      <c r="O135" s="10" t="n"/>
      <c r="P135" s="10" t="n"/>
      <c r="Q135" s="29">
        <f>IF($A135="","",IF($P135="YES",IF($O135="Bob",$N135,-$N135),0))</f>
        <v/>
      </c>
      <c r="R135" s="30">
        <f>IF($A135="","",IF(ROUND($S135,2)&gt;0,"Olivia pays Bob "&amp;TEXT($S135,"#,##0.00"),IF(ROUND($S135,2)&lt;0,"Bob pays Olivia "&amp;TEXT(-$S135,"#,##0.00"),"Nothing owed")))</f>
        <v/>
      </c>
      <c r="S135" s="31">
        <f>IF($A135="","",$L135-$M135+$Q135)</f>
        <v/>
      </c>
    </row>
    <row r="136" ht="17" customHeight="1">
      <c r="A136" s="26" t="n"/>
      <c r="B136" s="27" t="n"/>
      <c r="C136" s="27" t="n"/>
      <c r="D136" s="27" t="n"/>
      <c r="E136" s="27" t="n"/>
      <c r="F136" s="27" t="n"/>
      <c r="G136" s="27" t="n"/>
      <c r="H136" s="28">
        <f>IF($A136="","",SUM($B136:$G136))</f>
        <v/>
      </c>
      <c r="I136" s="29">
        <f>IF($A136="","",Rates!$C$6)</f>
        <v/>
      </c>
      <c r="J136" s="29">
        <f>IF($A136="","",Rates!$C$7)</f>
        <v/>
      </c>
      <c r="K136" s="29">
        <f>IF($A136="","",Rates!$C$8)</f>
        <v/>
      </c>
      <c r="L136" s="29">
        <f>IF($A136="","",($B136+$C136)*$I136)</f>
        <v/>
      </c>
      <c r="M136" s="29">
        <f>IF($A136="","",$G136*$J136+($E136+$F136+$G136)*$K136)</f>
        <v/>
      </c>
      <c r="N136" s="20" t="n"/>
      <c r="O136" s="10" t="n"/>
      <c r="P136" s="10" t="n"/>
      <c r="Q136" s="29">
        <f>IF($A136="","",IF($P136="YES",IF($O136="Bob",$N136,-$N136),0))</f>
        <v/>
      </c>
      <c r="R136" s="30">
        <f>IF($A136="","",IF(ROUND($S136,2)&gt;0,"Olivia pays Bob "&amp;TEXT($S136,"#,##0.00"),IF(ROUND($S136,2)&lt;0,"Bob pays Olivia "&amp;TEXT(-$S136,"#,##0.00"),"Nothing owed")))</f>
        <v/>
      </c>
      <c r="S136" s="31">
        <f>IF($A136="","",$L136-$M136+$Q136)</f>
        <v/>
      </c>
    </row>
    <row r="137" ht="17" customHeight="1">
      <c r="A137" s="26" t="n"/>
      <c r="B137" s="27" t="n"/>
      <c r="C137" s="27" t="n"/>
      <c r="D137" s="27" t="n"/>
      <c r="E137" s="27" t="n"/>
      <c r="F137" s="27" t="n"/>
      <c r="G137" s="27" t="n"/>
      <c r="H137" s="28">
        <f>IF($A137="","",SUM($B137:$G137))</f>
        <v/>
      </c>
      <c r="I137" s="29">
        <f>IF($A137="","",Rates!$C$6)</f>
        <v/>
      </c>
      <c r="J137" s="29">
        <f>IF($A137="","",Rates!$C$7)</f>
        <v/>
      </c>
      <c r="K137" s="29">
        <f>IF($A137="","",Rates!$C$8)</f>
        <v/>
      </c>
      <c r="L137" s="29">
        <f>IF($A137="","",($B137+$C137)*$I137)</f>
        <v/>
      </c>
      <c r="M137" s="29">
        <f>IF($A137="","",$G137*$J137+($E137+$F137+$G137)*$K137)</f>
        <v/>
      </c>
      <c r="N137" s="20" t="n"/>
      <c r="O137" s="10" t="n"/>
      <c r="P137" s="10" t="n"/>
      <c r="Q137" s="29">
        <f>IF($A137="","",IF($P137="YES",IF($O137="Bob",$N137,-$N137),0))</f>
        <v/>
      </c>
      <c r="R137" s="30">
        <f>IF($A137="","",IF(ROUND($S137,2)&gt;0,"Olivia pays Bob "&amp;TEXT($S137,"#,##0.00"),IF(ROUND($S137,2)&lt;0,"Bob pays Olivia "&amp;TEXT(-$S137,"#,##0.00"),"Nothing owed")))</f>
        <v/>
      </c>
      <c r="S137" s="31">
        <f>IF($A137="","",$L137-$M137+$Q137)</f>
        <v/>
      </c>
    </row>
    <row r="138" ht="17" customHeight="1">
      <c r="A138" s="26" t="n"/>
      <c r="B138" s="27" t="n"/>
      <c r="C138" s="27" t="n"/>
      <c r="D138" s="27" t="n"/>
      <c r="E138" s="27" t="n"/>
      <c r="F138" s="27" t="n"/>
      <c r="G138" s="27" t="n"/>
      <c r="H138" s="28">
        <f>IF($A138="","",SUM($B138:$G138))</f>
        <v/>
      </c>
      <c r="I138" s="29">
        <f>IF($A138="","",Rates!$C$6)</f>
        <v/>
      </c>
      <c r="J138" s="29">
        <f>IF($A138="","",Rates!$C$7)</f>
        <v/>
      </c>
      <c r="K138" s="29">
        <f>IF($A138="","",Rates!$C$8)</f>
        <v/>
      </c>
      <c r="L138" s="29">
        <f>IF($A138="","",($B138+$C138)*$I138)</f>
        <v/>
      </c>
      <c r="M138" s="29">
        <f>IF($A138="","",$G138*$J138+($E138+$F138+$G138)*$K138)</f>
        <v/>
      </c>
      <c r="N138" s="20" t="n"/>
      <c r="O138" s="10" t="n"/>
      <c r="P138" s="10" t="n"/>
      <c r="Q138" s="29">
        <f>IF($A138="","",IF($P138="YES",IF($O138="Bob",$N138,-$N138),0))</f>
        <v/>
      </c>
      <c r="R138" s="30">
        <f>IF($A138="","",IF(ROUND($S138,2)&gt;0,"Olivia pays Bob "&amp;TEXT($S138,"#,##0.00"),IF(ROUND($S138,2)&lt;0,"Bob pays Olivia "&amp;TEXT(-$S138,"#,##0.00"),"Nothing owed")))</f>
        <v/>
      </c>
      <c r="S138" s="31">
        <f>IF($A138="","",$L138-$M138+$Q138)</f>
        <v/>
      </c>
    </row>
    <row r="139" ht="17" customHeight="1">
      <c r="A139" s="26" t="n"/>
      <c r="B139" s="27" t="n"/>
      <c r="C139" s="27" t="n"/>
      <c r="D139" s="27" t="n"/>
      <c r="E139" s="27" t="n"/>
      <c r="F139" s="27" t="n"/>
      <c r="G139" s="27" t="n"/>
      <c r="H139" s="28">
        <f>IF($A139="","",SUM($B139:$G139))</f>
        <v/>
      </c>
      <c r="I139" s="29">
        <f>IF($A139="","",Rates!$C$6)</f>
        <v/>
      </c>
      <c r="J139" s="29">
        <f>IF($A139="","",Rates!$C$7)</f>
        <v/>
      </c>
      <c r="K139" s="29">
        <f>IF($A139="","",Rates!$C$8)</f>
        <v/>
      </c>
      <c r="L139" s="29">
        <f>IF($A139="","",($B139+$C139)*$I139)</f>
        <v/>
      </c>
      <c r="M139" s="29">
        <f>IF($A139="","",$G139*$J139+($E139+$F139+$G139)*$K139)</f>
        <v/>
      </c>
      <c r="N139" s="20" t="n"/>
      <c r="O139" s="10" t="n"/>
      <c r="P139" s="10" t="n"/>
      <c r="Q139" s="29">
        <f>IF($A139="","",IF($P139="YES",IF($O139="Bob",$N139,-$N139),0))</f>
        <v/>
      </c>
      <c r="R139" s="30">
        <f>IF($A139="","",IF(ROUND($S139,2)&gt;0,"Olivia pays Bob "&amp;TEXT($S139,"#,##0.00"),IF(ROUND($S139,2)&lt;0,"Bob pays Olivia "&amp;TEXT(-$S139,"#,##0.00"),"Nothing owed")))</f>
        <v/>
      </c>
      <c r="S139" s="31">
        <f>IF($A139="","",$L139-$M139+$Q139)</f>
        <v/>
      </c>
    </row>
    <row r="140" ht="17" customHeight="1">
      <c r="A140" s="26" t="n"/>
      <c r="B140" s="27" t="n"/>
      <c r="C140" s="27" t="n"/>
      <c r="D140" s="27" t="n"/>
      <c r="E140" s="27" t="n"/>
      <c r="F140" s="27" t="n"/>
      <c r="G140" s="27" t="n"/>
      <c r="H140" s="28">
        <f>IF($A140="","",SUM($B140:$G140))</f>
        <v/>
      </c>
      <c r="I140" s="29">
        <f>IF($A140="","",Rates!$C$6)</f>
        <v/>
      </c>
      <c r="J140" s="29">
        <f>IF($A140="","",Rates!$C$7)</f>
        <v/>
      </c>
      <c r="K140" s="29">
        <f>IF($A140="","",Rates!$C$8)</f>
        <v/>
      </c>
      <c r="L140" s="29">
        <f>IF($A140="","",($B140+$C140)*$I140)</f>
        <v/>
      </c>
      <c r="M140" s="29">
        <f>IF($A140="","",$G140*$J140+($E140+$F140+$G140)*$K140)</f>
        <v/>
      </c>
      <c r="N140" s="20" t="n"/>
      <c r="O140" s="10" t="n"/>
      <c r="P140" s="10" t="n"/>
      <c r="Q140" s="29">
        <f>IF($A140="","",IF($P140="YES",IF($O140="Bob",$N140,-$N140),0))</f>
        <v/>
      </c>
      <c r="R140" s="30">
        <f>IF($A140="","",IF(ROUND($S140,2)&gt;0,"Olivia pays Bob "&amp;TEXT($S140,"#,##0.00"),IF(ROUND($S140,2)&lt;0,"Bob pays Olivia "&amp;TEXT(-$S140,"#,##0.00"),"Nothing owed")))</f>
        <v/>
      </c>
      <c r="S140" s="31">
        <f>IF($A140="","",$L140-$M140+$Q140)</f>
        <v/>
      </c>
    </row>
    <row r="141" ht="17" customHeight="1">
      <c r="A141" s="26" t="n"/>
      <c r="B141" s="27" t="n"/>
      <c r="C141" s="27" t="n"/>
      <c r="D141" s="27" t="n"/>
      <c r="E141" s="27" t="n"/>
      <c r="F141" s="27" t="n"/>
      <c r="G141" s="27" t="n"/>
      <c r="H141" s="28">
        <f>IF($A141="","",SUM($B141:$G141))</f>
        <v/>
      </c>
      <c r="I141" s="29">
        <f>IF($A141="","",Rates!$C$6)</f>
        <v/>
      </c>
      <c r="J141" s="29">
        <f>IF($A141="","",Rates!$C$7)</f>
        <v/>
      </c>
      <c r="K141" s="29">
        <f>IF($A141="","",Rates!$C$8)</f>
        <v/>
      </c>
      <c r="L141" s="29">
        <f>IF($A141="","",($B141+$C141)*$I141)</f>
        <v/>
      </c>
      <c r="M141" s="29">
        <f>IF($A141="","",$G141*$J141+($E141+$F141+$G141)*$K141)</f>
        <v/>
      </c>
      <c r="N141" s="20" t="n"/>
      <c r="O141" s="10" t="n"/>
      <c r="P141" s="10" t="n"/>
      <c r="Q141" s="29">
        <f>IF($A141="","",IF($P141="YES",IF($O141="Bob",$N141,-$N141),0))</f>
        <v/>
      </c>
      <c r="R141" s="30">
        <f>IF($A141="","",IF(ROUND($S141,2)&gt;0,"Olivia pays Bob "&amp;TEXT($S141,"#,##0.00"),IF(ROUND($S141,2)&lt;0,"Bob pays Olivia "&amp;TEXT(-$S141,"#,##0.00"),"Nothing owed")))</f>
        <v/>
      </c>
      <c r="S141" s="31">
        <f>IF($A141="","",$L141-$M141+$Q141)</f>
        <v/>
      </c>
    </row>
    <row r="142" ht="17" customHeight="1">
      <c r="A142" s="26" t="n"/>
      <c r="B142" s="27" t="n"/>
      <c r="C142" s="27" t="n"/>
      <c r="D142" s="27" t="n"/>
      <c r="E142" s="27" t="n"/>
      <c r="F142" s="27" t="n"/>
      <c r="G142" s="27" t="n"/>
      <c r="H142" s="28">
        <f>IF($A142="","",SUM($B142:$G142))</f>
        <v/>
      </c>
      <c r="I142" s="29">
        <f>IF($A142="","",Rates!$C$6)</f>
        <v/>
      </c>
      <c r="J142" s="29">
        <f>IF($A142="","",Rates!$C$7)</f>
        <v/>
      </c>
      <c r="K142" s="29">
        <f>IF($A142="","",Rates!$C$8)</f>
        <v/>
      </c>
      <c r="L142" s="29">
        <f>IF($A142="","",($B142+$C142)*$I142)</f>
        <v/>
      </c>
      <c r="M142" s="29">
        <f>IF($A142="","",$G142*$J142+($E142+$F142+$G142)*$K142)</f>
        <v/>
      </c>
      <c r="N142" s="20" t="n"/>
      <c r="O142" s="10" t="n"/>
      <c r="P142" s="10" t="n"/>
      <c r="Q142" s="29">
        <f>IF($A142="","",IF($P142="YES",IF($O142="Bob",$N142,-$N142),0))</f>
        <v/>
      </c>
      <c r="R142" s="30">
        <f>IF($A142="","",IF(ROUND($S142,2)&gt;0,"Olivia pays Bob "&amp;TEXT($S142,"#,##0.00"),IF(ROUND($S142,2)&lt;0,"Bob pays Olivia "&amp;TEXT(-$S142,"#,##0.00"),"Nothing owed")))</f>
        <v/>
      </c>
      <c r="S142" s="31">
        <f>IF($A142="","",$L142-$M142+$Q142)</f>
        <v/>
      </c>
    </row>
    <row r="143" ht="17" customHeight="1">
      <c r="A143" s="26" t="n"/>
      <c r="B143" s="27" t="n"/>
      <c r="C143" s="27" t="n"/>
      <c r="D143" s="27" t="n"/>
      <c r="E143" s="27" t="n"/>
      <c r="F143" s="27" t="n"/>
      <c r="G143" s="27" t="n"/>
      <c r="H143" s="28">
        <f>IF($A143="","",SUM($B143:$G143))</f>
        <v/>
      </c>
      <c r="I143" s="29">
        <f>IF($A143="","",Rates!$C$6)</f>
        <v/>
      </c>
      <c r="J143" s="29">
        <f>IF($A143="","",Rates!$C$7)</f>
        <v/>
      </c>
      <c r="K143" s="29">
        <f>IF($A143="","",Rates!$C$8)</f>
        <v/>
      </c>
      <c r="L143" s="29">
        <f>IF($A143="","",($B143+$C143)*$I143)</f>
        <v/>
      </c>
      <c r="M143" s="29">
        <f>IF($A143="","",$G143*$J143+($E143+$F143+$G143)*$K143)</f>
        <v/>
      </c>
      <c r="N143" s="20" t="n"/>
      <c r="O143" s="10" t="n"/>
      <c r="P143" s="10" t="n"/>
      <c r="Q143" s="29">
        <f>IF($A143="","",IF($P143="YES",IF($O143="Bob",$N143,-$N143),0))</f>
        <v/>
      </c>
      <c r="R143" s="30">
        <f>IF($A143="","",IF(ROUND($S143,2)&gt;0,"Olivia pays Bob "&amp;TEXT($S143,"#,##0.00"),IF(ROUND($S143,2)&lt;0,"Bob pays Olivia "&amp;TEXT(-$S143,"#,##0.00"),"Nothing owed")))</f>
        <v/>
      </c>
      <c r="S143" s="31">
        <f>IF($A143="","",$L143-$M143+$Q143)</f>
        <v/>
      </c>
    </row>
    <row r="144" ht="17" customHeight="1">
      <c r="A144" s="26" t="n"/>
      <c r="B144" s="27" t="n"/>
      <c r="C144" s="27" t="n"/>
      <c r="D144" s="27" t="n"/>
      <c r="E144" s="27" t="n"/>
      <c r="F144" s="27" t="n"/>
      <c r="G144" s="27" t="n"/>
      <c r="H144" s="28">
        <f>IF($A144="","",SUM($B144:$G144))</f>
        <v/>
      </c>
      <c r="I144" s="29">
        <f>IF($A144="","",Rates!$C$6)</f>
        <v/>
      </c>
      <c r="J144" s="29">
        <f>IF($A144="","",Rates!$C$7)</f>
        <v/>
      </c>
      <c r="K144" s="29">
        <f>IF($A144="","",Rates!$C$8)</f>
        <v/>
      </c>
      <c r="L144" s="29">
        <f>IF($A144="","",($B144+$C144)*$I144)</f>
        <v/>
      </c>
      <c r="M144" s="29">
        <f>IF($A144="","",$G144*$J144+($E144+$F144+$G144)*$K144)</f>
        <v/>
      </c>
      <c r="N144" s="20" t="n"/>
      <c r="O144" s="10" t="n"/>
      <c r="P144" s="10" t="n"/>
      <c r="Q144" s="29">
        <f>IF($A144="","",IF($P144="YES",IF($O144="Bob",$N144,-$N144),0))</f>
        <v/>
      </c>
      <c r="R144" s="30">
        <f>IF($A144="","",IF(ROUND($S144,2)&gt;0,"Olivia pays Bob "&amp;TEXT($S144,"#,##0.00"),IF(ROUND($S144,2)&lt;0,"Bob pays Olivia "&amp;TEXT(-$S144,"#,##0.00"),"Nothing owed")))</f>
        <v/>
      </c>
      <c r="S144" s="31">
        <f>IF($A144="","",$L144-$M144+$Q144)</f>
        <v/>
      </c>
    </row>
    <row r="145" ht="17" customHeight="1">
      <c r="A145" s="26" t="n"/>
      <c r="B145" s="27" t="n"/>
      <c r="C145" s="27" t="n"/>
      <c r="D145" s="27" t="n"/>
      <c r="E145" s="27" t="n"/>
      <c r="F145" s="27" t="n"/>
      <c r="G145" s="27" t="n"/>
      <c r="H145" s="28">
        <f>IF($A145="","",SUM($B145:$G145))</f>
        <v/>
      </c>
      <c r="I145" s="29">
        <f>IF($A145="","",Rates!$C$6)</f>
        <v/>
      </c>
      <c r="J145" s="29">
        <f>IF($A145="","",Rates!$C$7)</f>
        <v/>
      </c>
      <c r="K145" s="29">
        <f>IF($A145="","",Rates!$C$8)</f>
        <v/>
      </c>
      <c r="L145" s="29">
        <f>IF($A145="","",($B145+$C145)*$I145)</f>
        <v/>
      </c>
      <c r="M145" s="29">
        <f>IF($A145="","",$G145*$J145+($E145+$F145+$G145)*$K145)</f>
        <v/>
      </c>
      <c r="N145" s="20" t="n"/>
      <c r="O145" s="10" t="n"/>
      <c r="P145" s="10" t="n"/>
      <c r="Q145" s="29">
        <f>IF($A145="","",IF($P145="YES",IF($O145="Bob",$N145,-$N145),0))</f>
        <v/>
      </c>
      <c r="R145" s="30">
        <f>IF($A145="","",IF(ROUND($S145,2)&gt;0,"Olivia pays Bob "&amp;TEXT($S145,"#,##0.00"),IF(ROUND($S145,2)&lt;0,"Bob pays Olivia "&amp;TEXT(-$S145,"#,##0.00"),"Nothing owed")))</f>
        <v/>
      </c>
      <c r="S145" s="31">
        <f>IF($A145="","",$L145-$M145+$Q145)</f>
        <v/>
      </c>
    </row>
    <row r="146" ht="17" customHeight="1">
      <c r="A146" s="26" t="n"/>
      <c r="B146" s="27" t="n"/>
      <c r="C146" s="27" t="n"/>
      <c r="D146" s="27" t="n"/>
      <c r="E146" s="27" t="n"/>
      <c r="F146" s="27" t="n"/>
      <c r="G146" s="27" t="n"/>
      <c r="H146" s="28">
        <f>IF($A146="","",SUM($B146:$G146))</f>
        <v/>
      </c>
      <c r="I146" s="29">
        <f>IF($A146="","",Rates!$C$6)</f>
        <v/>
      </c>
      <c r="J146" s="29">
        <f>IF($A146="","",Rates!$C$7)</f>
        <v/>
      </c>
      <c r="K146" s="29">
        <f>IF($A146="","",Rates!$C$8)</f>
        <v/>
      </c>
      <c r="L146" s="29">
        <f>IF($A146="","",($B146+$C146)*$I146)</f>
        <v/>
      </c>
      <c r="M146" s="29">
        <f>IF($A146="","",$G146*$J146+($E146+$F146+$G146)*$K146)</f>
        <v/>
      </c>
      <c r="N146" s="20" t="n"/>
      <c r="O146" s="10" t="n"/>
      <c r="P146" s="10" t="n"/>
      <c r="Q146" s="29">
        <f>IF($A146="","",IF($P146="YES",IF($O146="Bob",$N146,-$N146),0))</f>
        <v/>
      </c>
      <c r="R146" s="30">
        <f>IF($A146="","",IF(ROUND($S146,2)&gt;0,"Olivia pays Bob "&amp;TEXT($S146,"#,##0.00"),IF(ROUND($S146,2)&lt;0,"Bob pays Olivia "&amp;TEXT(-$S146,"#,##0.00"),"Nothing owed")))</f>
        <v/>
      </c>
      <c r="S146" s="31">
        <f>IF($A146="","",$L146-$M146+$Q146)</f>
        <v/>
      </c>
    </row>
    <row r="147" ht="17" customHeight="1">
      <c r="A147" s="26" t="n"/>
      <c r="B147" s="27" t="n"/>
      <c r="C147" s="27" t="n"/>
      <c r="D147" s="27" t="n"/>
      <c r="E147" s="27" t="n"/>
      <c r="F147" s="27" t="n"/>
      <c r="G147" s="27" t="n"/>
      <c r="H147" s="28">
        <f>IF($A147="","",SUM($B147:$G147))</f>
        <v/>
      </c>
      <c r="I147" s="29">
        <f>IF($A147="","",Rates!$C$6)</f>
        <v/>
      </c>
      <c r="J147" s="29">
        <f>IF($A147="","",Rates!$C$7)</f>
        <v/>
      </c>
      <c r="K147" s="29">
        <f>IF($A147="","",Rates!$C$8)</f>
        <v/>
      </c>
      <c r="L147" s="29">
        <f>IF($A147="","",($B147+$C147)*$I147)</f>
        <v/>
      </c>
      <c r="M147" s="29">
        <f>IF($A147="","",$G147*$J147+($E147+$F147+$G147)*$K147)</f>
        <v/>
      </c>
      <c r="N147" s="20" t="n"/>
      <c r="O147" s="10" t="n"/>
      <c r="P147" s="10" t="n"/>
      <c r="Q147" s="29">
        <f>IF($A147="","",IF($P147="YES",IF($O147="Bob",$N147,-$N147),0))</f>
        <v/>
      </c>
      <c r="R147" s="30">
        <f>IF($A147="","",IF(ROUND($S147,2)&gt;0,"Olivia pays Bob "&amp;TEXT($S147,"#,##0.00"),IF(ROUND($S147,2)&lt;0,"Bob pays Olivia "&amp;TEXT(-$S147,"#,##0.00"),"Nothing owed")))</f>
        <v/>
      </c>
      <c r="S147" s="31">
        <f>IF($A147="","",$L147-$M147+$Q147)</f>
        <v/>
      </c>
    </row>
    <row r="148" ht="17" customHeight="1">
      <c r="A148" s="26" t="n"/>
      <c r="B148" s="27" t="n"/>
      <c r="C148" s="27" t="n"/>
      <c r="D148" s="27" t="n"/>
      <c r="E148" s="27" t="n"/>
      <c r="F148" s="27" t="n"/>
      <c r="G148" s="27" t="n"/>
      <c r="H148" s="28">
        <f>IF($A148="","",SUM($B148:$G148))</f>
        <v/>
      </c>
      <c r="I148" s="29">
        <f>IF($A148="","",Rates!$C$6)</f>
        <v/>
      </c>
      <c r="J148" s="29">
        <f>IF($A148="","",Rates!$C$7)</f>
        <v/>
      </c>
      <c r="K148" s="29">
        <f>IF($A148="","",Rates!$C$8)</f>
        <v/>
      </c>
      <c r="L148" s="29">
        <f>IF($A148="","",($B148+$C148)*$I148)</f>
        <v/>
      </c>
      <c r="M148" s="29">
        <f>IF($A148="","",$G148*$J148+($E148+$F148+$G148)*$K148)</f>
        <v/>
      </c>
      <c r="N148" s="20" t="n"/>
      <c r="O148" s="10" t="n"/>
      <c r="P148" s="10" t="n"/>
      <c r="Q148" s="29">
        <f>IF($A148="","",IF($P148="YES",IF($O148="Bob",$N148,-$N148),0))</f>
        <v/>
      </c>
      <c r="R148" s="30">
        <f>IF($A148="","",IF(ROUND($S148,2)&gt;0,"Olivia pays Bob "&amp;TEXT($S148,"#,##0.00"),IF(ROUND($S148,2)&lt;0,"Bob pays Olivia "&amp;TEXT(-$S148,"#,##0.00"),"Nothing owed")))</f>
        <v/>
      </c>
      <c r="S148" s="31">
        <f>IF($A148="","",$L148-$M148+$Q148)</f>
        <v/>
      </c>
    </row>
    <row r="149" ht="17" customHeight="1">
      <c r="A149" s="26" t="n"/>
      <c r="B149" s="27" t="n"/>
      <c r="C149" s="27" t="n"/>
      <c r="D149" s="27" t="n"/>
      <c r="E149" s="27" t="n"/>
      <c r="F149" s="27" t="n"/>
      <c r="G149" s="27" t="n"/>
      <c r="H149" s="28">
        <f>IF($A149="","",SUM($B149:$G149))</f>
        <v/>
      </c>
      <c r="I149" s="29">
        <f>IF($A149="","",Rates!$C$6)</f>
        <v/>
      </c>
      <c r="J149" s="29">
        <f>IF($A149="","",Rates!$C$7)</f>
        <v/>
      </c>
      <c r="K149" s="29">
        <f>IF($A149="","",Rates!$C$8)</f>
        <v/>
      </c>
      <c r="L149" s="29">
        <f>IF($A149="","",($B149+$C149)*$I149)</f>
        <v/>
      </c>
      <c r="M149" s="29">
        <f>IF($A149="","",$G149*$J149+($E149+$F149+$G149)*$K149)</f>
        <v/>
      </c>
      <c r="N149" s="20" t="n"/>
      <c r="O149" s="10" t="n"/>
      <c r="P149" s="10" t="n"/>
      <c r="Q149" s="29">
        <f>IF($A149="","",IF($P149="YES",IF($O149="Bob",$N149,-$N149),0))</f>
        <v/>
      </c>
      <c r="R149" s="30">
        <f>IF($A149="","",IF(ROUND($S149,2)&gt;0,"Olivia pays Bob "&amp;TEXT($S149,"#,##0.00"),IF(ROUND($S149,2)&lt;0,"Bob pays Olivia "&amp;TEXT(-$S149,"#,##0.00"),"Nothing owed")))</f>
        <v/>
      </c>
      <c r="S149" s="31">
        <f>IF($A149="","",$L149-$M149+$Q149)</f>
        <v/>
      </c>
    </row>
    <row r="150" ht="17" customHeight="1">
      <c r="A150" s="26" t="n"/>
      <c r="B150" s="27" t="n"/>
      <c r="C150" s="27" t="n"/>
      <c r="D150" s="27" t="n"/>
      <c r="E150" s="27" t="n"/>
      <c r="F150" s="27" t="n"/>
      <c r="G150" s="27" t="n"/>
      <c r="H150" s="28">
        <f>IF($A150="","",SUM($B150:$G150))</f>
        <v/>
      </c>
      <c r="I150" s="29">
        <f>IF($A150="","",Rates!$C$6)</f>
        <v/>
      </c>
      <c r="J150" s="29">
        <f>IF($A150="","",Rates!$C$7)</f>
        <v/>
      </c>
      <c r="K150" s="29">
        <f>IF($A150="","",Rates!$C$8)</f>
        <v/>
      </c>
      <c r="L150" s="29">
        <f>IF($A150="","",($B150+$C150)*$I150)</f>
        <v/>
      </c>
      <c r="M150" s="29">
        <f>IF($A150="","",$G150*$J150+($E150+$F150+$G150)*$K150)</f>
        <v/>
      </c>
      <c r="N150" s="20" t="n"/>
      <c r="O150" s="10" t="n"/>
      <c r="P150" s="10" t="n"/>
      <c r="Q150" s="29">
        <f>IF($A150="","",IF($P150="YES",IF($O150="Bob",$N150,-$N150),0))</f>
        <v/>
      </c>
      <c r="R150" s="30">
        <f>IF($A150="","",IF(ROUND($S150,2)&gt;0,"Olivia pays Bob "&amp;TEXT($S150,"#,##0.00"),IF(ROUND($S150,2)&lt;0,"Bob pays Olivia "&amp;TEXT(-$S150,"#,##0.00"),"Nothing owed")))</f>
        <v/>
      </c>
      <c r="S150" s="31">
        <f>IF($A150="","",$L150-$M150+$Q150)</f>
        <v/>
      </c>
    </row>
    <row r="151" ht="17" customHeight="1">
      <c r="A151" s="26" t="n"/>
      <c r="B151" s="27" t="n"/>
      <c r="C151" s="27" t="n"/>
      <c r="D151" s="27" t="n"/>
      <c r="E151" s="27" t="n"/>
      <c r="F151" s="27" t="n"/>
      <c r="G151" s="27" t="n"/>
      <c r="H151" s="28">
        <f>IF($A151="","",SUM($B151:$G151))</f>
        <v/>
      </c>
      <c r="I151" s="29">
        <f>IF($A151="","",Rates!$C$6)</f>
        <v/>
      </c>
      <c r="J151" s="29">
        <f>IF($A151="","",Rates!$C$7)</f>
        <v/>
      </c>
      <c r="K151" s="29">
        <f>IF($A151="","",Rates!$C$8)</f>
        <v/>
      </c>
      <c r="L151" s="29">
        <f>IF($A151="","",($B151+$C151)*$I151)</f>
        <v/>
      </c>
      <c r="M151" s="29">
        <f>IF($A151="","",$G151*$J151+($E151+$F151+$G151)*$K151)</f>
        <v/>
      </c>
      <c r="N151" s="20" t="n"/>
      <c r="O151" s="10" t="n"/>
      <c r="P151" s="10" t="n"/>
      <c r="Q151" s="29">
        <f>IF($A151="","",IF($P151="YES",IF($O151="Bob",$N151,-$N151),0))</f>
        <v/>
      </c>
      <c r="R151" s="30">
        <f>IF($A151="","",IF(ROUND($S151,2)&gt;0,"Olivia pays Bob "&amp;TEXT($S151,"#,##0.00"),IF(ROUND($S151,2)&lt;0,"Bob pays Olivia "&amp;TEXT(-$S151,"#,##0.00"),"Nothing owed")))</f>
        <v/>
      </c>
      <c r="S151" s="31">
        <f>IF($A151="","",$L151-$M151+$Q151)</f>
        <v/>
      </c>
    </row>
    <row r="152" ht="17" customHeight="1">
      <c r="A152" s="26" t="n"/>
      <c r="B152" s="27" t="n"/>
      <c r="C152" s="27" t="n"/>
      <c r="D152" s="27" t="n"/>
      <c r="E152" s="27" t="n"/>
      <c r="F152" s="27" t="n"/>
      <c r="G152" s="27" t="n"/>
      <c r="H152" s="28">
        <f>IF($A152="","",SUM($B152:$G152))</f>
        <v/>
      </c>
      <c r="I152" s="29">
        <f>IF($A152="","",Rates!$C$6)</f>
        <v/>
      </c>
      <c r="J152" s="29">
        <f>IF($A152="","",Rates!$C$7)</f>
        <v/>
      </c>
      <c r="K152" s="29">
        <f>IF($A152="","",Rates!$C$8)</f>
        <v/>
      </c>
      <c r="L152" s="29">
        <f>IF($A152="","",($B152+$C152)*$I152)</f>
        <v/>
      </c>
      <c r="M152" s="29">
        <f>IF($A152="","",$G152*$J152+($E152+$F152+$G152)*$K152)</f>
        <v/>
      </c>
      <c r="N152" s="20" t="n"/>
      <c r="O152" s="10" t="n"/>
      <c r="P152" s="10" t="n"/>
      <c r="Q152" s="29">
        <f>IF($A152="","",IF($P152="YES",IF($O152="Bob",$N152,-$N152),0))</f>
        <v/>
      </c>
      <c r="R152" s="30">
        <f>IF($A152="","",IF(ROUND($S152,2)&gt;0,"Olivia pays Bob "&amp;TEXT($S152,"#,##0.00"),IF(ROUND($S152,2)&lt;0,"Bob pays Olivia "&amp;TEXT(-$S152,"#,##0.00"),"Nothing owed")))</f>
        <v/>
      </c>
      <c r="S152" s="31">
        <f>IF($A152="","",$L152-$M152+$Q152)</f>
        <v/>
      </c>
    </row>
    <row r="153" ht="17" customHeight="1">
      <c r="A153" s="26" t="n"/>
      <c r="B153" s="27" t="n"/>
      <c r="C153" s="27" t="n"/>
      <c r="D153" s="27" t="n"/>
      <c r="E153" s="27" t="n"/>
      <c r="F153" s="27" t="n"/>
      <c r="G153" s="27" t="n"/>
      <c r="H153" s="28">
        <f>IF($A153="","",SUM($B153:$G153))</f>
        <v/>
      </c>
      <c r="I153" s="29">
        <f>IF($A153="","",Rates!$C$6)</f>
        <v/>
      </c>
      <c r="J153" s="29">
        <f>IF($A153="","",Rates!$C$7)</f>
        <v/>
      </c>
      <c r="K153" s="29">
        <f>IF($A153="","",Rates!$C$8)</f>
        <v/>
      </c>
      <c r="L153" s="29">
        <f>IF($A153="","",($B153+$C153)*$I153)</f>
        <v/>
      </c>
      <c r="M153" s="29">
        <f>IF($A153="","",$G153*$J153+($E153+$F153+$G153)*$K153)</f>
        <v/>
      </c>
      <c r="N153" s="20" t="n"/>
      <c r="O153" s="10" t="n"/>
      <c r="P153" s="10" t="n"/>
      <c r="Q153" s="29">
        <f>IF($A153="","",IF($P153="YES",IF($O153="Bob",$N153,-$N153),0))</f>
        <v/>
      </c>
      <c r="R153" s="30">
        <f>IF($A153="","",IF(ROUND($S153,2)&gt;0,"Olivia pays Bob "&amp;TEXT($S153,"#,##0.00"),IF(ROUND($S153,2)&lt;0,"Bob pays Olivia "&amp;TEXT(-$S153,"#,##0.00"),"Nothing owed")))</f>
        <v/>
      </c>
      <c r="S153" s="31">
        <f>IF($A153="","",$L153-$M153+$Q153)</f>
        <v/>
      </c>
    </row>
    <row r="154" ht="17" customHeight="1">
      <c r="A154" s="26" t="n"/>
      <c r="B154" s="27" t="n"/>
      <c r="C154" s="27" t="n"/>
      <c r="D154" s="27" t="n"/>
      <c r="E154" s="27" t="n"/>
      <c r="F154" s="27" t="n"/>
      <c r="G154" s="27" t="n"/>
      <c r="H154" s="28">
        <f>IF($A154="","",SUM($B154:$G154))</f>
        <v/>
      </c>
      <c r="I154" s="29">
        <f>IF($A154="","",Rates!$C$6)</f>
        <v/>
      </c>
      <c r="J154" s="29">
        <f>IF($A154="","",Rates!$C$7)</f>
        <v/>
      </c>
      <c r="K154" s="29">
        <f>IF($A154="","",Rates!$C$8)</f>
        <v/>
      </c>
      <c r="L154" s="29">
        <f>IF($A154="","",($B154+$C154)*$I154)</f>
        <v/>
      </c>
      <c r="M154" s="29">
        <f>IF($A154="","",$G154*$J154+($E154+$F154+$G154)*$K154)</f>
        <v/>
      </c>
      <c r="N154" s="20" t="n"/>
      <c r="O154" s="10" t="n"/>
      <c r="P154" s="10" t="n"/>
      <c r="Q154" s="29">
        <f>IF($A154="","",IF($P154="YES",IF($O154="Bob",$N154,-$N154),0))</f>
        <v/>
      </c>
      <c r="R154" s="30">
        <f>IF($A154="","",IF(ROUND($S154,2)&gt;0,"Olivia pays Bob "&amp;TEXT($S154,"#,##0.00"),IF(ROUND($S154,2)&lt;0,"Bob pays Olivia "&amp;TEXT(-$S154,"#,##0.00"),"Nothing owed")))</f>
        <v/>
      </c>
      <c r="S154" s="31">
        <f>IF($A154="","",$L154-$M154+$Q154)</f>
        <v/>
      </c>
    </row>
    <row r="155" ht="17" customHeight="1">
      <c r="A155" s="26" t="n"/>
      <c r="B155" s="27" t="n"/>
      <c r="C155" s="27" t="n"/>
      <c r="D155" s="27" t="n"/>
      <c r="E155" s="27" t="n"/>
      <c r="F155" s="27" t="n"/>
      <c r="G155" s="27" t="n"/>
      <c r="H155" s="28">
        <f>IF($A155="","",SUM($B155:$G155))</f>
        <v/>
      </c>
      <c r="I155" s="29">
        <f>IF($A155="","",Rates!$C$6)</f>
        <v/>
      </c>
      <c r="J155" s="29">
        <f>IF($A155="","",Rates!$C$7)</f>
        <v/>
      </c>
      <c r="K155" s="29">
        <f>IF($A155="","",Rates!$C$8)</f>
        <v/>
      </c>
      <c r="L155" s="29">
        <f>IF($A155="","",($B155+$C155)*$I155)</f>
        <v/>
      </c>
      <c r="M155" s="29">
        <f>IF($A155="","",$G155*$J155+($E155+$F155+$G155)*$K155)</f>
        <v/>
      </c>
      <c r="N155" s="20" t="n"/>
      <c r="O155" s="10" t="n"/>
      <c r="P155" s="10" t="n"/>
      <c r="Q155" s="29">
        <f>IF($A155="","",IF($P155="YES",IF($O155="Bob",$N155,-$N155),0))</f>
        <v/>
      </c>
      <c r="R155" s="30">
        <f>IF($A155="","",IF(ROUND($S155,2)&gt;0,"Olivia pays Bob "&amp;TEXT($S155,"#,##0.00"),IF(ROUND($S155,2)&lt;0,"Bob pays Olivia "&amp;TEXT(-$S155,"#,##0.00"),"Nothing owed")))</f>
        <v/>
      </c>
      <c r="S155" s="31">
        <f>IF($A155="","",$L155-$M155+$Q155)</f>
        <v/>
      </c>
    </row>
    <row r="156" ht="17" customHeight="1">
      <c r="A156" s="26" t="n"/>
      <c r="B156" s="27" t="n"/>
      <c r="C156" s="27" t="n"/>
      <c r="D156" s="27" t="n"/>
      <c r="E156" s="27" t="n"/>
      <c r="F156" s="27" t="n"/>
      <c r="G156" s="27" t="n"/>
      <c r="H156" s="28">
        <f>IF($A156="","",SUM($B156:$G156))</f>
        <v/>
      </c>
      <c r="I156" s="29">
        <f>IF($A156="","",Rates!$C$6)</f>
        <v/>
      </c>
      <c r="J156" s="29">
        <f>IF($A156="","",Rates!$C$7)</f>
        <v/>
      </c>
      <c r="K156" s="29">
        <f>IF($A156="","",Rates!$C$8)</f>
        <v/>
      </c>
      <c r="L156" s="29">
        <f>IF($A156="","",($B156+$C156)*$I156)</f>
        <v/>
      </c>
      <c r="M156" s="29">
        <f>IF($A156="","",$G156*$J156+($E156+$F156+$G156)*$K156)</f>
        <v/>
      </c>
      <c r="N156" s="20" t="n"/>
      <c r="O156" s="10" t="n"/>
      <c r="P156" s="10" t="n"/>
      <c r="Q156" s="29">
        <f>IF($A156="","",IF($P156="YES",IF($O156="Bob",$N156,-$N156),0))</f>
        <v/>
      </c>
      <c r="R156" s="30">
        <f>IF($A156="","",IF(ROUND($S156,2)&gt;0,"Olivia pays Bob "&amp;TEXT($S156,"#,##0.00"),IF(ROUND($S156,2)&lt;0,"Bob pays Olivia "&amp;TEXT(-$S156,"#,##0.00"),"Nothing owed")))</f>
        <v/>
      </c>
      <c r="S156" s="31">
        <f>IF($A156="","",$L156-$M156+$Q156)</f>
        <v/>
      </c>
    </row>
    <row r="157" ht="17" customHeight="1">
      <c r="A157" s="26" t="n"/>
      <c r="B157" s="27" t="n"/>
      <c r="C157" s="27" t="n"/>
      <c r="D157" s="27" t="n"/>
      <c r="E157" s="27" t="n"/>
      <c r="F157" s="27" t="n"/>
      <c r="G157" s="27" t="n"/>
      <c r="H157" s="28">
        <f>IF($A157="","",SUM($B157:$G157))</f>
        <v/>
      </c>
      <c r="I157" s="29">
        <f>IF($A157="","",Rates!$C$6)</f>
        <v/>
      </c>
      <c r="J157" s="29">
        <f>IF($A157="","",Rates!$C$7)</f>
        <v/>
      </c>
      <c r="K157" s="29">
        <f>IF($A157="","",Rates!$C$8)</f>
        <v/>
      </c>
      <c r="L157" s="29">
        <f>IF($A157="","",($B157+$C157)*$I157)</f>
        <v/>
      </c>
      <c r="M157" s="29">
        <f>IF($A157="","",$G157*$J157+($E157+$F157+$G157)*$K157)</f>
        <v/>
      </c>
      <c r="N157" s="20" t="n"/>
      <c r="O157" s="10" t="n"/>
      <c r="P157" s="10" t="n"/>
      <c r="Q157" s="29">
        <f>IF($A157="","",IF($P157="YES",IF($O157="Bob",$N157,-$N157),0))</f>
        <v/>
      </c>
      <c r="R157" s="30">
        <f>IF($A157="","",IF(ROUND($S157,2)&gt;0,"Olivia pays Bob "&amp;TEXT($S157,"#,##0.00"),IF(ROUND($S157,2)&lt;0,"Bob pays Olivia "&amp;TEXT(-$S157,"#,##0.00"),"Nothing owed")))</f>
        <v/>
      </c>
      <c r="S157" s="31">
        <f>IF($A157="","",$L157-$M157+$Q157)</f>
        <v/>
      </c>
    </row>
    <row r="158" ht="17" customHeight="1">
      <c r="A158" s="26" t="n"/>
      <c r="B158" s="27" t="n"/>
      <c r="C158" s="27" t="n"/>
      <c r="D158" s="27" t="n"/>
      <c r="E158" s="27" t="n"/>
      <c r="F158" s="27" t="n"/>
      <c r="G158" s="27" t="n"/>
      <c r="H158" s="28">
        <f>IF($A158="","",SUM($B158:$G158))</f>
        <v/>
      </c>
      <c r="I158" s="29">
        <f>IF($A158="","",Rates!$C$6)</f>
        <v/>
      </c>
      <c r="J158" s="29">
        <f>IF($A158="","",Rates!$C$7)</f>
        <v/>
      </c>
      <c r="K158" s="29">
        <f>IF($A158="","",Rates!$C$8)</f>
        <v/>
      </c>
      <c r="L158" s="29">
        <f>IF($A158="","",($B158+$C158)*$I158)</f>
        <v/>
      </c>
      <c r="M158" s="29">
        <f>IF($A158="","",$G158*$J158+($E158+$F158+$G158)*$K158)</f>
        <v/>
      </c>
      <c r="N158" s="20" t="n"/>
      <c r="O158" s="10" t="n"/>
      <c r="P158" s="10" t="n"/>
      <c r="Q158" s="29">
        <f>IF($A158="","",IF($P158="YES",IF($O158="Bob",$N158,-$N158),0))</f>
        <v/>
      </c>
      <c r="R158" s="30">
        <f>IF($A158="","",IF(ROUND($S158,2)&gt;0,"Olivia pays Bob "&amp;TEXT($S158,"#,##0.00"),IF(ROUND($S158,2)&lt;0,"Bob pays Olivia "&amp;TEXT(-$S158,"#,##0.00"),"Nothing owed")))</f>
        <v/>
      </c>
      <c r="S158" s="31">
        <f>IF($A158="","",$L158-$M158+$Q158)</f>
        <v/>
      </c>
    </row>
    <row r="159" ht="17" customHeight="1">
      <c r="A159" s="26" t="n"/>
      <c r="B159" s="27" t="n"/>
      <c r="C159" s="27" t="n"/>
      <c r="D159" s="27" t="n"/>
      <c r="E159" s="27" t="n"/>
      <c r="F159" s="27" t="n"/>
      <c r="G159" s="27" t="n"/>
      <c r="H159" s="28">
        <f>IF($A159="","",SUM($B159:$G159))</f>
        <v/>
      </c>
      <c r="I159" s="29">
        <f>IF($A159="","",Rates!$C$6)</f>
        <v/>
      </c>
      <c r="J159" s="29">
        <f>IF($A159="","",Rates!$C$7)</f>
        <v/>
      </c>
      <c r="K159" s="29">
        <f>IF($A159="","",Rates!$C$8)</f>
        <v/>
      </c>
      <c r="L159" s="29">
        <f>IF($A159="","",($B159+$C159)*$I159)</f>
        <v/>
      </c>
      <c r="M159" s="29">
        <f>IF($A159="","",$G159*$J159+($E159+$F159+$G159)*$K159)</f>
        <v/>
      </c>
      <c r="N159" s="20" t="n"/>
      <c r="O159" s="10" t="n"/>
      <c r="P159" s="10" t="n"/>
      <c r="Q159" s="29">
        <f>IF($A159="","",IF($P159="YES",IF($O159="Bob",$N159,-$N159),0))</f>
        <v/>
      </c>
      <c r="R159" s="30">
        <f>IF($A159="","",IF(ROUND($S159,2)&gt;0,"Olivia pays Bob "&amp;TEXT($S159,"#,##0.00"),IF(ROUND($S159,2)&lt;0,"Bob pays Olivia "&amp;TEXT(-$S159,"#,##0.00"),"Nothing owed")))</f>
        <v/>
      </c>
      <c r="S159" s="31">
        <f>IF($A159="","",$L159-$M159+$Q159)</f>
        <v/>
      </c>
    </row>
    <row r="160" ht="17" customHeight="1">
      <c r="A160" s="26" t="n"/>
      <c r="B160" s="27" t="n"/>
      <c r="C160" s="27" t="n"/>
      <c r="D160" s="27" t="n"/>
      <c r="E160" s="27" t="n"/>
      <c r="F160" s="27" t="n"/>
      <c r="G160" s="27" t="n"/>
      <c r="H160" s="28">
        <f>IF($A160="","",SUM($B160:$G160))</f>
        <v/>
      </c>
      <c r="I160" s="29">
        <f>IF($A160="","",Rates!$C$6)</f>
        <v/>
      </c>
      <c r="J160" s="29">
        <f>IF($A160="","",Rates!$C$7)</f>
        <v/>
      </c>
      <c r="K160" s="29">
        <f>IF($A160="","",Rates!$C$8)</f>
        <v/>
      </c>
      <c r="L160" s="29">
        <f>IF($A160="","",($B160+$C160)*$I160)</f>
        <v/>
      </c>
      <c r="M160" s="29">
        <f>IF($A160="","",$G160*$J160+($E160+$F160+$G160)*$K160)</f>
        <v/>
      </c>
      <c r="N160" s="20" t="n"/>
      <c r="O160" s="10" t="n"/>
      <c r="P160" s="10" t="n"/>
      <c r="Q160" s="29">
        <f>IF($A160="","",IF($P160="YES",IF($O160="Bob",$N160,-$N160),0))</f>
        <v/>
      </c>
      <c r="R160" s="30">
        <f>IF($A160="","",IF(ROUND($S160,2)&gt;0,"Olivia pays Bob "&amp;TEXT($S160,"#,##0.00"),IF(ROUND($S160,2)&lt;0,"Bob pays Olivia "&amp;TEXT(-$S160,"#,##0.00"),"Nothing owed")))</f>
        <v/>
      </c>
      <c r="S160" s="31">
        <f>IF($A160="","",$L160-$M160+$Q160)</f>
        <v/>
      </c>
    </row>
    <row r="161" ht="17" customHeight="1">
      <c r="A161" s="26" t="n"/>
      <c r="B161" s="27" t="n"/>
      <c r="C161" s="27" t="n"/>
      <c r="D161" s="27" t="n"/>
      <c r="E161" s="27" t="n"/>
      <c r="F161" s="27" t="n"/>
      <c r="G161" s="27" t="n"/>
      <c r="H161" s="28">
        <f>IF($A161="","",SUM($B161:$G161))</f>
        <v/>
      </c>
      <c r="I161" s="29">
        <f>IF($A161="","",Rates!$C$6)</f>
        <v/>
      </c>
      <c r="J161" s="29">
        <f>IF($A161="","",Rates!$C$7)</f>
        <v/>
      </c>
      <c r="K161" s="29">
        <f>IF($A161="","",Rates!$C$8)</f>
        <v/>
      </c>
      <c r="L161" s="29">
        <f>IF($A161="","",($B161+$C161)*$I161)</f>
        <v/>
      </c>
      <c r="M161" s="29">
        <f>IF($A161="","",$G161*$J161+($E161+$F161+$G161)*$K161)</f>
        <v/>
      </c>
      <c r="N161" s="20" t="n"/>
      <c r="O161" s="10" t="n"/>
      <c r="P161" s="10" t="n"/>
      <c r="Q161" s="29">
        <f>IF($A161="","",IF($P161="YES",IF($O161="Bob",$N161,-$N161),0))</f>
        <v/>
      </c>
      <c r="R161" s="30">
        <f>IF($A161="","",IF(ROUND($S161,2)&gt;0,"Olivia pays Bob "&amp;TEXT($S161,"#,##0.00"),IF(ROUND($S161,2)&lt;0,"Bob pays Olivia "&amp;TEXT(-$S161,"#,##0.00"),"Nothing owed")))</f>
        <v/>
      </c>
      <c r="S161" s="31">
        <f>IF($A161="","",$L161-$M161+$Q161)</f>
        <v/>
      </c>
    </row>
    <row r="162" ht="17" customHeight="1">
      <c r="A162" s="26" t="n"/>
      <c r="B162" s="27" t="n"/>
      <c r="C162" s="27" t="n"/>
      <c r="D162" s="27" t="n"/>
      <c r="E162" s="27" t="n"/>
      <c r="F162" s="27" t="n"/>
      <c r="G162" s="27" t="n"/>
      <c r="H162" s="28">
        <f>IF($A162="","",SUM($B162:$G162))</f>
        <v/>
      </c>
      <c r="I162" s="29">
        <f>IF($A162="","",Rates!$C$6)</f>
        <v/>
      </c>
      <c r="J162" s="29">
        <f>IF($A162="","",Rates!$C$7)</f>
        <v/>
      </c>
      <c r="K162" s="29">
        <f>IF($A162="","",Rates!$C$8)</f>
        <v/>
      </c>
      <c r="L162" s="29">
        <f>IF($A162="","",($B162+$C162)*$I162)</f>
        <v/>
      </c>
      <c r="M162" s="29">
        <f>IF($A162="","",$G162*$J162+($E162+$F162+$G162)*$K162)</f>
        <v/>
      </c>
      <c r="N162" s="20" t="n"/>
      <c r="O162" s="10" t="n"/>
      <c r="P162" s="10" t="n"/>
      <c r="Q162" s="29">
        <f>IF($A162="","",IF($P162="YES",IF($O162="Bob",$N162,-$N162),0))</f>
        <v/>
      </c>
      <c r="R162" s="30">
        <f>IF($A162="","",IF(ROUND($S162,2)&gt;0,"Olivia pays Bob "&amp;TEXT($S162,"#,##0.00"),IF(ROUND($S162,2)&lt;0,"Bob pays Olivia "&amp;TEXT(-$S162,"#,##0.00"),"Nothing owed")))</f>
        <v/>
      </c>
      <c r="S162" s="31">
        <f>IF($A162="","",$L162-$M162+$Q162)</f>
        <v/>
      </c>
    </row>
    <row r="163" ht="17" customHeight="1">
      <c r="A163" s="26" t="n"/>
      <c r="B163" s="27" t="n"/>
      <c r="C163" s="27" t="n"/>
      <c r="D163" s="27" t="n"/>
      <c r="E163" s="27" t="n"/>
      <c r="F163" s="27" t="n"/>
      <c r="G163" s="27" t="n"/>
      <c r="H163" s="28">
        <f>IF($A163="","",SUM($B163:$G163))</f>
        <v/>
      </c>
      <c r="I163" s="29">
        <f>IF($A163="","",Rates!$C$6)</f>
        <v/>
      </c>
      <c r="J163" s="29">
        <f>IF($A163="","",Rates!$C$7)</f>
        <v/>
      </c>
      <c r="K163" s="29">
        <f>IF($A163="","",Rates!$C$8)</f>
        <v/>
      </c>
      <c r="L163" s="29">
        <f>IF($A163="","",($B163+$C163)*$I163)</f>
        <v/>
      </c>
      <c r="M163" s="29">
        <f>IF($A163="","",$G163*$J163+($E163+$F163+$G163)*$K163)</f>
        <v/>
      </c>
      <c r="N163" s="20" t="n"/>
      <c r="O163" s="10" t="n"/>
      <c r="P163" s="10" t="n"/>
      <c r="Q163" s="29">
        <f>IF($A163="","",IF($P163="YES",IF($O163="Bob",$N163,-$N163),0))</f>
        <v/>
      </c>
      <c r="R163" s="30">
        <f>IF($A163="","",IF(ROUND($S163,2)&gt;0,"Olivia pays Bob "&amp;TEXT($S163,"#,##0.00"),IF(ROUND($S163,2)&lt;0,"Bob pays Olivia "&amp;TEXT(-$S163,"#,##0.00"),"Nothing owed")))</f>
        <v/>
      </c>
      <c r="S163" s="31">
        <f>IF($A163="","",$L163-$M163+$Q163)</f>
        <v/>
      </c>
    </row>
    <row r="164" ht="17" customHeight="1">
      <c r="A164" s="26" t="n"/>
      <c r="B164" s="27" t="n"/>
      <c r="C164" s="27" t="n"/>
      <c r="D164" s="27" t="n"/>
      <c r="E164" s="27" t="n"/>
      <c r="F164" s="27" t="n"/>
      <c r="G164" s="27" t="n"/>
      <c r="H164" s="28">
        <f>IF($A164="","",SUM($B164:$G164))</f>
        <v/>
      </c>
      <c r="I164" s="29">
        <f>IF($A164="","",Rates!$C$6)</f>
        <v/>
      </c>
      <c r="J164" s="29">
        <f>IF($A164="","",Rates!$C$7)</f>
        <v/>
      </c>
      <c r="K164" s="29">
        <f>IF($A164="","",Rates!$C$8)</f>
        <v/>
      </c>
      <c r="L164" s="29">
        <f>IF($A164="","",($B164+$C164)*$I164)</f>
        <v/>
      </c>
      <c r="M164" s="29">
        <f>IF($A164="","",$G164*$J164+($E164+$F164+$G164)*$K164)</f>
        <v/>
      </c>
      <c r="N164" s="20" t="n"/>
      <c r="O164" s="10" t="n"/>
      <c r="P164" s="10" t="n"/>
      <c r="Q164" s="29">
        <f>IF($A164="","",IF($P164="YES",IF($O164="Bob",$N164,-$N164),0))</f>
        <v/>
      </c>
      <c r="R164" s="30">
        <f>IF($A164="","",IF(ROUND($S164,2)&gt;0,"Olivia pays Bob "&amp;TEXT($S164,"#,##0.00"),IF(ROUND($S164,2)&lt;0,"Bob pays Olivia "&amp;TEXT(-$S164,"#,##0.00"),"Nothing owed")))</f>
        <v/>
      </c>
      <c r="S164" s="31">
        <f>IF($A164="","",$L164-$M164+$Q164)</f>
        <v/>
      </c>
    </row>
    <row r="165" ht="17" customHeight="1">
      <c r="A165" s="26" t="n"/>
      <c r="B165" s="27" t="n"/>
      <c r="C165" s="27" t="n"/>
      <c r="D165" s="27" t="n"/>
      <c r="E165" s="27" t="n"/>
      <c r="F165" s="27" t="n"/>
      <c r="G165" s="27" t="n"/>
      <c r="H165" s="28">
        <f>IF($A165="","",SUM($B165:$G165))</f>
        <v/>
      </c>
      <c r="I165" s="29">
        <f>IF($A165="","",Rates!$C$6)</f>
        <v/>
      </c>
      <c r="J165" s="29">
        <f>IF($A165="","",Rates!$C$7)</f>
        <v/>
      </c>
      <c r="K165" s="29">
        <f>IF($A165="","",Rates!$C$8)</f>
        <v/>
      </c>
      <c r="L165" s="29">
        <f>IF($A165="","",($B165+$C165)*$I165)</f>
        <v/>
      </c>
      <c r="M165" s="29">
        <f>IF($A165="","",$G165*$J165+($E165+$F165+$G165)*$K165)</f>
        <v/>
      </c>
      <c r="N165" s="20" t="n"/>
      <c r="O165" s="10" t="n"/>
      <c r="P165" s="10" t="n"/>
      <c r="Q165" s="29">
        <f>IF($A165="","",IF($P165="YES",IF($O165="Bob",$N165,-$N165),0))</f>
        <v/>
      </c>
      <c r="R165" s="30">
        <f>IF($A165="","",IF(ROUND($S165,2)&gt;0,"Olivia pays Bob "&amp;TEXT($S165,"#,##0.00"),IF(ROUND($S165,2)&lt;0,"Bob pays Olivia "&amp;TEXT(-$S165,"#,##0.00"),"Nothing owed")))</f>
        <v/>
      </c>
      <c r="S165" s="31">
        <f>IF($A165="","",$L165-$M165+$Q165)</f>
        <v/>
      </c>
    </row>
    <row r="166" ht="17" customHeight="1">
      <c r="A166" s="26" t="n"/>
      <c r="B166" s="27" t="n"/>
      <c r="C166" s="27" t="n"/>
      <c r="D166" s="27" t="n"/>
      <c r="E166" s="27" t="n"/>
      <c r="F166" s="27" t="n"/>
      <c r="G166" s="27" t="n"/>
      <c r="H166" s="28">
        <f>IF($A166="","",SUM($B166:$G166))</f>
        <v/>
      </c>
      <c r="I166" s="29">
        <f>IF($A166="","",Rates!$C$6)</f>
        <v/>
      </c>
      <c r="J166" s="29">
        <f>IF($A166="","",Rates!$C$7)</f>
        <v/>
      </c>
      <c r="K166" s="29">
        <f>IF($A166="","",Rates!$C$8)</f>
        <v/>
      </c>
      <c r="L166" s="29">
        <f>IF($A166="","",($B166+$C166)*$I166)</f>
        <v/>
      </c>
      <c r="M166" s="29">
        <f>IF($A166="","",$G166*$J166+($E166+$F166+$G166)*$K166)</f>
        <v/>
      </c>
      <c r="N166" s="20" t="n"/>
      <c r="O166" s="10" t="n"/>
      <c r="P166" s="10" t="n"/>
      <c r="Q166" s="29">
        <f>IF($A166="","",IF($P166="YES",IF($O166="Bob",$N166,-$N166),0))</f>
        <v/>
      </c>
      <c r="R166" s="30">
        <f>IF($A166="","",IF(ROUND($S166,2)&gt;0,"Olivia pays Bob "&amp;TEXT($S166,"#,##0.00"),IF(ROUND($S166,2)&lt;0,"Bob pays Olivia "&amp;TEXT(-$S166,"#,##0.00"),"Nothing owed")))</f>
        <v/>
      </c>
      <c r="S166" s="31">
        <f>IF($A166="","",$L166-$M166+$Q166)</f>
        <v/>
      </c>
    </row>
    <row r="167" ht="17" customHeight="1">
      <c r="A167" s="26" t="n"/>
      <c r="B167" s="27" t="n"/>
      <c r="C167" s="27" t="n"/>
      <c r="D167" s="27" t="n"/>
      <c r="E167" s="27" t="n"/>
      <c r="F167" s="27" t="n"/>
      <c r="G167" s="27" t="n"/>
      <c r="H167" s="28">
        <f>IF($A167="","",SUM($B167:$G167))</f>
        <v/>
      </c>
      <c r="I167" s="29">
        <f>IF($A167="","",Rates!$C$6)</f>
        <v/>
      </c>
      <c r="J167" s="29">
        <f>IF($A167="","",Rates!$C$7)</f>
        <v/>
      </c>
      <c r="K167" s="29">
        <f>IF($A167="","",Rates!$C$8)</f>
        <v/>
      </c>
      <c r="L167" s="29">
        <f>IF($A167="","",($B167+$C167)*$I167)</f>
        <v/>
      </c>
      <c r="M167" s="29">
        <f>IF($A167="","",$G167*$J167+($E167+$F167+$G167)*$K167)</f>
        <v/>
      </c>
      <c r="N167" s="20" t="n"/>
      <c r="O167" s="10" t="n"/>
      <c r="P167" s="10" t="n"/>
      <c r="Q167" s="29">
        <f>IF($A167="","",IF($P167="YES",IF($O167="Bob",$N167,-$N167),0))</f>
        <v/>
      </c>
      <c r="R167" s="30">
        <f>IF($A167="","",IF(ROUND($S167,2)&gt;0,"Olivia pays Bob "&amp;TEXT($S167,"#,##0.00"),IF(ROUND($S167,2)&lt;0,"Bob pays Olivia "&amp;TEXT(-$S167,"#,##0.00"),"Nothing owed")))</f>
        <v/>
      </c>
      <c r="S167" s="31">
        <f>IF($A167="","",$L167-$M167+$Q167)</f>
        <v/>
      </c>
    </row>
    <row r="168" ht="17" customHeight="1">
      <c r="A168" s="26" t="n"/>
      <c r="B168" s="27" t="n"/>
      <c r="C168" s="27" t="n"/>
      <c r="D168" s="27" t="n"/>
      <c r="E168" s="27" t="n"/>
      <c r="F168" s="27" t="n"/>
      <c r="G168" s="27" t="n"/>
      <c r="H168" s="28">
        <f>IF($A168="","",SUM($B168:$G168))</f>
        <v/>
      </c>
      <c r="I168" s="29">
        <f>IF($A168="","",Rates!$C$6)</f>
        <v/>
      </c>
      <c r="J168" s="29">
        <f>IF($A168="","",Rates!$C$7)</f>
        <v/>
      </c>
      <c r="K168" s="29">
        <f>IF($A168="","",Rates!$C$8)</f>
        <v/>
      </c>
      <c r="L168" s="29">
        <f>IF($A168="","",($B168+$C168)*$I168)</f>
        <v/>
      </c>
      <c r="M168" s="29">
        <f>IF($A168="","",$G168*$J168+($E168+$F168+$G168)*$K168)</f>
        <v/>
      </c>
      <c r="N168" s="20" t="n"/>
      <c r="O168" s="10" t="n"/>
      <c r="P168" s="10" t="n"/>
      <c r="Q168" s="29">
        <f>IF($A168="","",IF($P168="YES",IF($O168="Bob",$N168,-$N168),0))</f>
        <v/>
      </c>
      <c r="R168" s="30">
        <f>IF($A168="","",IF(ROUND($S168,2)&gt;0,"Olivia pays Bob "&amp;TEXT($S168,"#,##0.00"),IF(ROUND($S168,2)&lt;0,"Bob pays Olivia "&amp;TEXT(-$S168,"#,##0.00"),"Nothing owed")))</f>
        <v/>
      </c>
      <c r="S168" s="31">
        <f>IF($A168="","",$L168-$M168+$Q168)</f>
        <v/>
      </c>
    </row>
    <row r="169" ht="17" customHeight="1">
      <c r="A169" s="26" t="n"/>
      <c r="B169" s="27" t="n"/>
      <c r="C169" s="27" t="n"/>
      <c r="D169" s="27" t="n"/>
      <c r="E169" s="27" t="n"/>
      <c r="F169" s="27" t="n"/>
      <c r="G169" s="27" t="n"/>
      <c r="H169" s="28">
        <f>IF($A169="","",SUM($B169:$G169))</f>
        <v/>
      </c>
      <c r="I169" s="29">
        <f>IF($A169="","",Rates!$C$6)</f>
        <v/>
      </c>
      <c r="J169" s="29">
        <f>IF($A169="","",Rates!$C$7)</f>
        <v/>
      </c>
      <c r="K169" s="29">
        <f>IF($A169="","",Rates!$C$8)</f>
        <v/>
      </c>
      <c r="L169" s="29">
        <f>IF($A169="","",($B169+$C169)*$I169)</f>
        <v/>
      </c>
      <c r="M169" s="29">
        <f>IF($A169="","",$G169*$J169+($E169+$F169+$G169)*$K169)</f>
        <v/>
      </c>
      <c r="N169" s="20" t="n"/>
      <c r="O169" s="10" t="n"/>
      <c r="P169" s="10" t="n"/>
      <c r="Q169" s="29">
        <f>IF($A169="","",IF($P169="YES",IF($O169="Bob",$N169,-$N169),0))</f>
        <v/>
      </c>
      <c r="R169" s="30">
        <f>IF($A169="","",IF(ROUND($S169,2)&gt;0,"Olivia pays Bob "&amp;TEXT($S169,"#,##0.00"),IF(ROUND($S169,2)&lt;0,"Bob pays Olivia "&amp;TEXT(-$S169,"#,##0.00"),"Nothing owed")))</f>
        <v/>
      </c>
      <c r="S169" s="31">
        <f>IF($A169="","",$L169-$M169+$Q169)</f>
        <v/>
      </c>
    </row>
    <row r="170" ht="17" customHeight="1">
      <c r="A170" s="26" t="n"/>
      <c r="B170" s="27" t="n"/>
      <c r="C170" s="27" t="n"/>
      <c r="D170" s="27" t="n"/>
      <c r="E170" s="27" t="n"/>
      <c r="F170" s="27" t="n"/>
      <c r="G170" s="27" t="n"/>
      <c r="H170" s="28">
        <f>IF($A170="","",SUM($B170:$G170))</f>
        <v/>
      </c>
      <c r="I170" s="29">
        <f>IF($A170="","",Rates!$C$6)</f>
        <v/>
      </c>
      <c r="J170" s="29">
        <f>IF($A170="","",Rates!$C$7)</f>
        <v/>
      </c>
      <c r="K170" s="29">
        <f>IF($A170="","",Rates!$C$8)</f>
        <v/>
      </c>
      <c r="L170" s="29">
        <f>IF($A170="","",($B170+$C170)*$I170)</f>
        <v/>
      </c>
      <c r="M170" s="29">
        <f>IF($A170="","",$G170*$J170+($E170+$F170+$G170)*$K170)</f>
        <v/>
      </c>
      <c r="N170" s="20" t="n"/>
      <c r="O170" s="10" t="n"/>
      <c r="P170" s="10" t="n"/>
      <c r="Q170" s="29">
        <f>IF($A170="","",IF($P170="YES",IF($O170="Bob",$N170,-$N170),0))</f>
        <v/>
      </c>
      <c r="R170" s="30">
        <f>IF($A170="","",IF(ROUND($S170,2)&gt;0,"Olivia pays Bob "&amp;TEXT($S170,"#,##0.00"),IF(ROUND($S170,2)&lt;0,"Bob pays Olivia "&amp;TEXT(-$S170,"#,##0.00"),"Nothing owed")))</f>
        <v/>
      </c>
      <c r="S170" s="31">
        <f>IF($A170="","",$L170-$M170+$Q170)</f>
        <v/>
      </c>
    </row>
    <row r="171" ht="17" customHeight="1">
      <c r="A171" s="26" t="n"/>
      <c r="B171" s="27" t="n"/>
      <c r="C171" s="27" t="n"/>
      <c r="D171" s="27" t="n"/>
      <c r="E171" s="27" t="n"/>
      <c r="F171" s="27" t="n"/>
      <c r="G171" s="27" t="n"/>
      <c r="H171" s="28">
        <f>IF($A171="","",SUM($B171:$G171))</f>
        <v/>
      </c>
      <c r="I171" s="29">
        <f>IF($A171="","",Rates!$C$6)</f>
        <v/>
      </c>
      <c r="J171" s="29">
        <f>IF($A171="","",Rates!$C$7)</f>
        <v/>
      </c>
      <c r="K171" s="29">
        <f>IF($A171="","",Rates!$C$8)</f>
        <v/>
      </c>
      <c r="L171" s="29">
        <f>IF($A171="","",($B171+$C171)*$I171)</f>
        <v/>
      </c>
      <c r="M171" s="29">
        <f>IF($A171="","",$G171*$J171+($E171+$F171+$G171)*$K171)</f>
        <v/>
      </c>
      <c r="N171" s="20" t="n"/>
      <c r="O171" s="10" t="n"/>
      <c r="P171" s="10" t="n"/>
      <c r="Q171" s="29">
        <f>IF($A171="","",IF($P171="YES",IF($O171="Bob",$N171,-$N171),0))</f>
        <v/>
      </c>
      <c r="R171" s="30">
        <f>IF($A171="","",IF(ROUND($S171,2)&gt;0,"Olivia pays Bob "&amp;TEXT($S171,"#,##0.00"),IF(ROUND($S171,2)&lt;0,"Bob pays Olivia "&amp;TEXT(-$S171,"#,##0.00"),"Nothing owed")))</f>
        <v/>
      </c>
      <c r="S171" s="31">
        <f>IF($A171="","",$L171-$M171+$Q171)</f>
        <v/>
      </c>
    </row>
    <row r="172" ht="17" customHeight="1">
      <c r="A172" s="26" t="n"/>
      <c r="B172" s="27" t="n"/>
      <c r="C172" s="27" t="n"/>
      <c r="D172" s="27" t="n"/>
      <c r="E172" s="27" t="n"/>
      <c r="F172" s="27" t="n"/>
      <c r="G172" s="27" t="n"/>
      <c r="H172" s="28">
        <f>IF($A172="","",SUM($B172:$G172))</f>
        <v/>
      </c>
      <c r="I172" s="29">
        <f>IF($A172="","",Rates!$C$6)</f>
        <v/>
      </c>
      <c r="J172" s="29">
        <f>IF($A172="","",Rates!$C$7)</f>
        <v/>
      </c>
      <c r="K172" s="29">
        <f>IF($A172="","",Rates!$C$8)</f>
        <v/>
      </c>
      <c r="L172" s="29">
        <f>IF($A172="","",($B172+$C172)*$I172)</f>
        <v/>
      </c>
      <c r="M172" s="29">
        <f>IF($A172="","",$G172*$J172+($E172+$F172+$G172)*$K172)</f>
        <v/>
      </c>
      <c r="N172" s="20" t="n"/>
      <c r="O172" s="10" t="n"/>
      <c r="P172" s="10" t="n"/>
      <c r="Q172" s="29">
        <f>IF($A172="","",IF($P172="YES",IF($O172="Bob",$N172,-$N172),0))</f>
        <v/>
      </c>
      <c r="R172" s="30">
        <f>IF($A172="","",IF(ROUND($S172,2)&gt;0,"Olivia pays Bob "&amp;TEXT($S172,"#,##0.00"),IF(ROUND($S172,2)&lt;0,"Bob pays Olivia "&amp;TEXT(-$S172,"#,##0.00"),"Nothing owed")))</f>
        <v/>
      </c>
      <c r="S172" s="31">
        <f>IF($A172="","",$L172-$M172+$Q172)</f>
        <v/>
      </c>
    </row>
    <row r="173" ht="17" customHeight="1">
      <c r="A173" s="26" t="n"/>
      <c r="B173" s="27" t="n"/>
      <c r="C173" s="27" t="n"/>
      <c r="D173" s="27" t="n"/>
      <c r="E173" s="27" t="n"/>
      <c r="F173" s="27" t="n"/>
      <c r="G173" s="27" t="n"/>
      <c r="H173" s="28">
        <f>IF($A173="","",SUM($B173:$G173))</f>
        <v/>
      </c>
      <c r="I173" s="29">
        <f>IF($A173="","",Rates!$C$6)</f>
        <v/>
      </c>
      <c r="J173" s="29">
        <f>IF($A173="","",Rates!$C$7)</f>
        <v/>
      </c>
      <c r="K173" s="29">
        <f>IF($A173="","",Rates!$C$8)</f>
        <v/>
      </c>
      <c r="L173" s="29">
        <f>IF($A173="","",($B173+$C173)*$I173)</f>
        <v/>
      </c>
      <c r="M173" s="29">
        <f>IF($A173="","",$G173*$J173+($E173+$F173+$G173)*$K173)</f>
        <v/>
      </c>
      <c r="N173" s="20" t="n"/>
      <c r="O173" s="10" t="n"/>
      <c r="P173" s="10" t="n"/>
      <c r="Q173" s="29">
        <f>IF($A173="","",IF($P173="YES",IF($O173="Bob",$N173,-$N173),0))</f>
        <v/>
      </c>
      <c r="R173" s="30">
        <f>IF($A173="","",IF(ROUND($S173,2)&gt;0,"Olivia pays Bob "&amp;TEXT($S173,"#,##0.00"),IF(ROUND($S173,2)&lt;0,"Bob pays Olivia "&amp;TEXT(-$S173,"#,##0.00"),"Nothing owed")))</f>
        <v/>
      </c>
      <c r="S173" s="31">
        <f>IF($A173="","",$L173-$M173+$Q173)</f>
        <v/>
      </c>
    </row>
    <row r="174" ht="17" customHeight="1">
      <c r="A174" s="26" t="n"/>
      <c r="B174" s="27" t="n"/>
      <c r="C174" s="27" t="n"/>
      <c r="D174" s="27" t="n"/>
      <c r="E174" s="27" t="n"/>
      <c r="F174" s="27" t="n"/>
      <c r="G174" s="27" t="n"/>
      <c r="H174" s="28">
        <f>IF($A174="","",SUM($B174:$G174))</f>
        <v/>
      </c>
      <c r="I174" s="29">
        <f>IF($A174="","",Rates!$C$6)</f>
        <v/>
      </c>
      <c r="J174" s="29">
        <f>IF($A174="","",Rates!$C$7)</f>
        <v/>
      </c>
      <c r="K174" s="29">
        <f>IF($A174="","",Rates!$C$8)</f>
        <v/>
      </c>
      <c r="L174" s="29">
        <f>IF($A174="","",($B174+$C174)*$I174)</f>
        <v/>
      </c>
      <c r="M174" s="29">
        <f>IF($A174="","",$G174*$J174+($E174+$F174+$G174)*$K174)</f>
        <v/>
      </c>
      <c r="N174" s="20" t="n"/>
      <c r="O174" s="10" t="n"/>
      <c r="P174" s="10" t="n"/>
      <c r="Q174" s="29">
        <f>IF($A174="","",IF($P174="YES",IF($O174="Bob",$N174,-$N174),0))</f>
        <v/>
      </c>
      <c r="R174" s="30">
        <f>IF($A174="","",IF(ROUND($S174,2)&gt;0,"Olivia pays Bob "&amp;TEXT($S174,"#,##0.00"),IF(ROUND($S174,2)&lt;0,"Bob pays Olivia "&amp;TEXT(-$S174,"#,##0.00"),"Nothing owed")))</f>
        <v/>
      </c>
      <c r="S174" s="31">
        <f>IF($A174="","",$L174-$M174+$Q174)</f>
        <v/>
      </c>
    </row>
    <row r="175" ht="17" customHeight="1">
      <c r="A175" s="26" t="n"/>
      <c r="B175" s="27" t="n"/>
      <c r="C175" s="27" t="n"/>
      <c r="D175" s="27" t="n"/>
      <c r="E175" s="27" t="n"/>
      <c r="F175" s="27" t="n"/>
      <c r="G175" s="27" t="n"/>
      <c r="H175" s="28">
        <f>IF($A175="","",SUM($B175:$G175))</f>
        <v/>
      </c>
      <c r="I175" s="29">
        <f>IF($A175="","",Rates!$C$6)</f>
        <v/>
      </c>
      <c r="J175" s="29">
        <f>IF($A175="","",Rates!$C$7)</f>
        <v/>
      </c>
      <c r="K175" s="29">
        <f>IF($A175="","",Rates!$C$8)</f>
        <v/>
      </c>
      <c r="L175" s="29">
        <f>IF($A175="","",($B175+$C175)*$I175)</f>
        <v/>
      </c>
      <c r="M175" s="29">
        <f>IF($A175="","",$G175*$J175+($E175+$F175+$G175)*$K175)</f>
        <v/>
      </c>
      <c r="N175" s="20" t="n"/>
      <c r="O175" s="10" t="n"/>
      <c r="P175" s="10" t="n"/>
      <c r="Q175" s="29">
        <f>IF($A175="","",IF($P175="YES",IF($O175="Bob",$N175,-$N175),0))</f>
        <v/>
      </c>
      <c r="R175" s="30">
        <f>IF($A175="","",IF(ROUND($S175,2)&gt;0,"Olivia pays Bob "&amp;TEXT($S175,"#,##0.00"),IF(ROUND($S175,2)&lt;0,"Bob pays Olivia "&amp;TEXT(-$S175,"#,##0.00"),"Nothing owed")))</f>
        <v/>
      </c>
      <c r="S175" s="31">
        <f>IF($A175="","",$L175-$M175+$Q175)</f>
        <v/>
      </c>
    </row>
    <row r="176" ht="17" customHeight="1">
      <c r="A176" s="26" t="n"/>
      <c r="B176" s="27" t="n"/>
      <c r="C176" s="27" t="n"/>
      <c r="D176" s="27" t="n"/>
      <c r="E176" s="27" t="n"/>
      <c r="F176" s="27" t="n"/>
      <c r="G176" s="27" t="n"/>
      <c r="H176" s="28">
        <f>IF($A176="","",SUM($B176:$G176))</f>
        <v/>
      </c>
      <c r="I176" s="29">
        <f>IF($A176="","",Rates!$C$6)</f>
        <v/>
      </c>
      <c r="J176" s="29">
        <f>IF($A176="","",Rates!$C$7)</f>
        <v/>
      </c>
      <c r="K176" s="29">
        <f>IF($A176="","",Rates!$C$8)</f>
        <v/>
      </c>
      <c r="L176" s="29">
        <f>IF($A176="","",($B176+$C176)*$I176)</f>
        <v/>
      </c>
      <c r="M176" s="29">
        <f>IF($A176="","",$G176*$J176+($E176+$F176+$G176)*$K176)</f>
        <v/>
      </c>
      <c r="N176" s="20" t="n"/>
      <c r="O176" s="10" t="n"/>
      <c r="P176" s="10" t="n"/>
      <c r="Q176" s="29">
        <f>IF($A176="","",IF($P176="YES",IF($O176="Bob",$N176,-$N176),0))</f>
        <v/>
      </c>
      <c r="R176" s="30">
        <f>IF($A176="","",IF(ROUND($S176,2)&gt;0,"Olivia pays Bob "&amp;TEXT($S176,"#,##0.00"),IF(ROUND($S176,2)&lt;0,"Bob pays Olivia "&amp;TEXT(-$S176,"#,##0.00"),"Nothing owed")))</f>
        <v/>
      </c>
      <c r="S176" s="31">
        <f>IF($A176="","",$L176-$M176+$Q176)</f>
        <v/>
      </c>
    </row>
    <row r="177" ht="17" customHeight="1">
      <c r="A177" s="26" t="n"/>
      <c r="B177" s="27" t="n"/>
      <c r="C177" s="27" t="n"/>
      <c r="D177" s="27" t="n"/>
      <c r="E177" s="27" t="n"/>
      <c r="F177" s="27" t="n"/>
      <c r="G177" s="27" t="n"/>
      <c r="H177" s="28">
        <f>IF($A177="","",SUM($B177:$G177))</f>
        <v/>
      </c>
      <c r="I177" s="29">
        <f>IF($A177="","",Rates!$C$6)</f>
        <v/>
      </c>
      <c r="J177" s="29">
        <f>IF($A177="","",Rates!$C$7)</f>
        <v/>
      </c>
      <c r="K177" s="29">
        <f>IF($A177="","",Rates!$C$8)</f>
        <v/>
      </c>
      <c r="L177" s="29">
        <f>IF($A177="","",($B177+$C177)*$I177)</f>
        <v/>
      </c>
      <c r="M177" s="29">
        <f>IF($A177="","",$G177*$J177+($E177+$F177+$G177)*$K177)</f>
        <v/>
      </c>
      <c r="N177" s="20" t="n"/>
      <c r="O177" s="10" t="n"/>
      <c r="P177" s="10" t="n"/>
      <c r="Q177" s="29">
        <f>IF($A177="","",IF($P177="YES",IF($O177="Bob",$N177,-$N177),0))</f>
        <v/>
      </c>
      <c r="R177" s="30">
        <f>IF($A177="","",IF(ROUND($S177,2)&gt;0,"Olivia pays Bob "&amp;TEXT($S177,"#,##0.00"),IF(ROUND($S177,2)&lt;0,"Bob pays Olivia "&amp;TEXT(-$S177,"#,##0.00"),"Nothing owed")))</f>
        <v/>
      </c>
      <c r="S177" s="31">
        <f>IF($A177="","",$L177-$M177+$Q177)</f>
        <v/>
      </c>
    </row>
    <row r="178" ht="17" customHeight="1">
      <c r="A178" s="26" t="n"/>
      <c r="B178" s="27" t="n"/>
      <c r="C178" s="27" t="n"/>
      <c r="D178" s="27" t="n"/>
      <c r="E178" s="27" t="n"/>
      <c r="F178" s="27" t="n"/>
      <c r="G178" s="27" t="n"/>
      <c r="H178" s="28">
        <f>IF($A178="","",SUM($B178:$G178))</f>
        <v/>
      </c>
      <c r="I178" s="29">
        <f>IF($A178="","",Rates!$C$6)</f>
        <v/>
      </c>
      <c r="J178" s="29">
        <f>IF($A178="","",Rates!$C$7)</f>
        <v/>
      </c>
      <c r="K178" s="29">
        <f>IF($A178="","",Rates!$C$8)</f>
        <v/>
      </c>
      <c r="L178" s="29">
        <f>IF($A178="","",($B178+$C178)*$I178)</f>
        <v/>
      </c>
      <c r="M178" s="29">
        <f>IF($A178="","",$G178*$J178+($E178+$F178+$G178)*$K178)</f>
        <v/>
      </c>
      <c r="N178" s="20" t="n"/>
      <c r="O178" s="10" t="n"/>
      <c r="P178" s="10" t="n"/>
      <c r="Q178" s="29">
        <f>IF($A178="","",IF($P178="YES",IF($O178="Bob",$N178,-$N178),0))</f>
        <v/>
      </c>
      <c r="R178" s="30">
        <f>IF($A178="","",IF(ROUND($S178,2)&gt;0,"Olivia pays Bob "&amp;TEXT($S178,"#,##0.00"),IF(ROUND($S178,2)&lt;0,"Bob pays Olivia "&amp;TEXT(-$S178,"#,##0.00"),"Nothing owed")))</f>
        <v/>
      </c>
      <c r="S178" s="31">
        <f>IF($A178="","",$L178-$M178+$Q178)</f>
        <v/>
      </c>
    </row>
    <row r="179" ht="17" customHeight="1">
      <c r="A179" s="26" t="n"/>
      <c r="B179" s="27" t="n"/>
      <c r="C179" s="27" t="n"/>
      <c r="D179" s="27" t="n"/>
      <c r="E179" s="27" t="n"/>
      <c r="F179" s="27" t="n"/>
      <c r="G179" s="27" t="n"/>
      <c r="H179" s="28">
        <f>IF($A179="","",SUM($B179:$G179))</f>
        <v/>
      </c>
      <c r="I179" s="29">
        <f>IF($A179="","",Rates!$C$6)</f>
        <v/>
      </c>
      <c r="J179" s="29">
        <f>IF($A179="","",Rates!$C$7)</f>
        <v/>
      </c>
      <c r="K179" s="29">
        <f>IF($A179="","",Rates!$C$8)</f>
        <v/>
      </c>
      <c r="L179" s="29">
        <f>IF($A179="","",($B179+$C179)*$I179)</f>
        <v/>
      </c>
      <c r="M179" s="29">
        <f>IF($A179="","",$G179*$J179+($E179+$F179+$G179)*$K179)</f>
        <v/>
      </c>
      <c r="N179" s="20" t="n"/>
      <c r="O179" s="10" t="n"/>
      <c r="P179" s="10" t="n"/>
      <c r="Q179" s="29">
        <f>IF($A179="","",IF($P179="YES",IF($O179="Bob",$N179,-$N179),0))</f>
        <v/>
      </c>
      <c r="R179" s="30">
        <f>IF($A179="","",IF(ROUND($S179,2)&gt;0,"Olivia pays Bob "&amp;TEXT($S179,"#,##0.00"),IF(ROUND($S179,2)&lt;0,"Bob pays Olivia "&amp;TEXT(-$S179,"#,##0.00"),"Nothing owed")))</f>
        <v/>
      </c>
      <c r="S179" s="31">
        <f>IF($A179="","",$L179-$M179+$Q179)</f>
        <v/>
      </c>
    </row>
    <row r="180" ht="17" customHeight="1">
      <c r="A180" s="26" t="n"/>
      <c r="B180" s="27" t="n"/>
      <c r="C180" s="27" t="n"/>
      <c r="D180" s="27" t="n"/>
      <c r="E180" s="27" t="n"/>
      <c r="F180" s="27" t="n"/>
      <c r="G180" s="27" t="n"/>
      <c r="H180" s="28">
        <f>IF($A180="","",SUM($B180:$G180))</f>
        <v/>
      </c>
      <c r="I180" s="29">
        <f>IF($A180="","",Rates!$C$6)</f>
        <v/>
      </c>
      <c r="J180" s="29">
        <f>IF($A180="","",Rates!$C$7)</f>
        <v/>
      </c>
      <c r="K180" s="29">
        <f>IF($A180="","",Rates!$C$8)</f>
        <v/>
      </c>
      <c r="L180" s="29">
        <f>IF($A180="","",($B180+$C180)*$I180)</f>
        <v/>
      </c>
      <c r="M180" s="29">
        <f>IF($A180="","",$G180*$J180+($E180+$F180+$G180)*$K180)</f>
        <v/>
      </c>
      <c r="N180" s="20" t="n"/>
      <c r="O180" s="10" t="n"/>
      <c r="P180" s="10" t="n"/>
      <c r="Q180" s="29">
        <f>IF($A180="","",IF($P180="YES",IF($O180="Bob",$N180,-$N180),0))</f>
        <v/>
      </c>
      <c r="R180" s="30">
        <f>IF($A180="","",IF(ROUND($S180,2)&gt;0,"Olivia pays Bob "&amp;TEXT($S180,"#,##0.00"),IF(ROUND($S180,2)&lt;0,"Bob pays Olivia "&amp;TEXT(-$S180,"#,##0.00"),"Nothing owed")))</f>
        <v/>
      </c>
      <c r="S180" s="31">
        <f>IF($A180="","",$L180-$M180+$Q180)</f>
        <v/>
      </c>
    </row>
    <row r="181" ht="17" customHeight="1">
      <c r="A181" s="26" t="n"/>
      <c r="B181" s="27" t="n"/>
      <c r="C181" s="27" t="n"/>
      <c r="D181" s="27" t="n"/>
      <c r="E181" s="27" t="n"/>
      <c r="F181" s="27" t="n"/>
      <c r="G181" s="27" t="n"/>
      <c r="H181" s="28">
        <f>IF($A181="","",SUM($B181:$G181))</f>
        <v/>
      </c>
      <c r="I181" s="29">
        <f>IF($A181="","",Rates!$C$6)</f>
        <v/>
      </c>
      <c r="J181" s="29">
        <f>IF($A181="","",Rates!$C$7)</f>
        <v/>
      </c>
      <c r="K181" s="29">
        <f>IF($A181="","",Rates!$C$8)</f>
        <v/>
      </c>
      <c r="L181" s="29">
        <f>IF($A181="","",($B181+$C181)*$I181)</f>
        <v/>
      </c>
      <c r="M181" s="29">
        <f>IF($A181="","",$G181*$J181+($E181+$F181+$G181)*$K181)</f>
        <v/>
      </c>
      <c r="N181" s="20" t="n"/>
      <c r="O181" s="10" t="n"/>
      <c r="P181" s="10" t="n"/>
      <c r="Q181" s="29">
        <f>IF($A181="","",IF($P181="YES",IF($O181="Bob",$N181,-$N181),0))</f>
        <v/>
      </c>
      <c r="R181" s="30">
        <f>IF($A181="","",IF(ROUND($S181,2)&gt;0,"Olivia pays Bob "&amp;TEXT($S181,"#,##0.00"),IF(ROUND($S181,2)&lt;0,"Bob pays Olivia "&amp;TEXT(-$S181,"#,##0.00"),"Nothing owed")))</f>
        <v/>
      </c>
      <c r="S181" s="31">
        <f>IF($A181="","",$L181-$M181+$Q181)</f>
        <v/>
      </c>
    </row>
    <row r="182" ht="17" customHeight="1">
      <c r="A182" s="26" t="n"/>
      <c r="B182" s="27" t="n"/>
      <c r="C182" s="27" t="n"/>
      <c r="D182" s="27" t="n"/>
      <c r="E182" s="27" t="n"/>
      <c r="F182" s="27" t="n"/>
      <c r="G182" s="27" t="n"/>
      <c r="H182" s="28">
        <f>IF($A182="","",SUM($B182:$G182))</f>
        <v/>
      </c>
      <c r="I182" s="29">
        <f>IF($A182="","",Rates!$C$6)</f>
        <v/>
      </c>
      <c r="J182" s="29">
        <f>IF($A182="","",Rates!$C$7)</f>
        <v/>
      </c>
      <c r="K182" s="29">
        <f>IF($A182="","",Rates!$C$8)</f>
        <v/>
      </c>
      <c r="L182" s="29">
        <f>IF($A182="","",($B182+$C182)*$I182)</f>
        <v/>
      </c>
      <c r="M182" s="29">
        <f>IF($A182="","",$G182*$J182+($E182+$F182+$G182)*$K182)</f>
        <v/>
      </c>
      <c r="N182" s="20" t="n"/>
      <c r="O182" s="10" t="n"/>
      <c r="P182" s="10" t="n"/>
      <c r="Q182" s="29">
        <f>IF($A182="","",IF($P182="YES",IF($O182="Bob",$N182,-$N182),0))</f>
        <v/>
      </c>
      <c r="R182" s="30">
        <f>IF($A182="","",IF(ROUND($S182,2)&gt;0,"Olivia pays Bob "&amp;TEXT($S182,"#,##0.00"),IF(ROUND($S182,2)&lt;0,"Bob pays Olivia "&amp;TEXT(-$S182,"#,##0.00"),"Nothing owed")))</f>
        <v/>
      </c>
      <c r="S182" s="31">
        <f>IF($A182="","",$L182-$M182+$Q182)</f>
        <v/>
      </c>
    </row>
    <row r="183" ht="17" customHeight="1">
      <c r="A183" s="26" t="n"/>
      <c r="B183" s="27" t="n"/>
      <c r="C183" s="27" t="n"/>
      <c r="D183" s="27" t="n"/>
      <c r="E183" s="27" t="n"/>
      <c r="F183" s="27" t="n"/>
      <c r="G183" s="27" t="n"/>
      <c r="H183" s="28">
        <f>IF($A183="","",SUM($B183:$G183))</f>
        <v/>
      </c>
      <c r="I183" s="29">
        <f>IF($A183="","",Rates!$C$6)</f>
        <v/>
      </c>
      <c r="J183" s="29">
        <f>IF($A183="","",Rates!$C$7)</f>
        <v/>
      </c>
      <c r="K183" s="29">
        <f>IF($A183="","",Rates!$C$8)</f>
        <v/>
      </c>
      <c r="L183" s="29">
        <f>IF($A183="","",($B183+$C183)*$I183)</f>
        <v/>
      </c>
      <c r="M183" s="29">
        <f>IF($A183="","",$G183*$J183+($E183+$F183+$G183)*$K183)</f>
        <v/>
      </c>
      <c r="N183" s="20" t="n"/>
      <c r="O183" s="10" t="n"/>
      <c r="P183" s="10" t="n"/>
      <c r="Q183" s="29">
        <f>IF($A183="","",IF($P183="YES",IF($O183="Bob",$N183,-$N183),0))</f>
        <v/>
      </c>
      <c r="R183" s="30">
        <f>IF($A183="","",IF(ROUND($S183,2)&gt;0,"Olivia pays Bob "&amp;TEXT($S183,"#,##0.00"),IF(ROUND($S183,2)&lt;0,"Bob pays Olivia "&amp;TEXT(-$S183,"#,##0.00"),"Nothing owed")))</f>
        <v/>
      </c>
      <c r="S183" s="31">
        <f>IF($A183="","",$L183-$M183+$Q183)</f>
        <v/>
      </c>
    </row>
    <row r="184" ht="17" customHeight="1">
      <c r="A184" s="26" t="n"/>
      <c r="B184" s="27" t="n"/>
      <c r="C184" s="27" t="n"/>
      <c r="D184" s="27" t="n"/>
      <c r="E184" s="27" t="n"/>
      <c r="F184" s="27" t="n"/>
      <c r="G184" s="27" t="n"/>
      <c r="H184" s="28">
        <f>IF($A184="","",SUM($B184:$G184))</f>
        <v/>
      </c>
      <c r="I184" s="29">
        <f>IF($A184="","",Rates!$C$6)</f>
        <v/>
      </c>
      <c r="J184" s="29">
        <f>IF($A184="","",Rates!$C$7)</f>
        <v/>
      </c>
      <c r="K184" s="29">
        <f>IF($A184="","",Rates!$C$8)</f>
        <v/>
      </c>
      <c r="L184" s="29">
        <f>IF($A184="","",($B184+$C184)*$I184)</f>
        <v/>
      </c>
      <c r="M184" s="29">
        <f>IF($A184="","",$G184*$J184+($E184+$F184+$G184)*$K184)</f>
        <v/>
      </c>
      <c r="N184" s="20" t="n"/>
      <c r="O184" s="10" t="n"/>
      <c r="P184" s="10" t="n"/>
      <c r="Q184" s="29">
        <f>IF($A184="","",IF($P184="YES",IF($O184="Bob",$N184,-$N184),0))</f>
        <v/>
      </c>
      <c r="R184" s="30">
        <f>IF($A184="","",IF(ROUND($S184,2)&gt;0,"Olivia pays Bob "&amp;TEXT($S184,"#,##0.00"),IF(ROUND($S184,2)&lt;0,"Bob pays Olivia "&amp;TEXT(-$S184,"#,##0.00"),"Nothing owed")))</f>
        <v/>
      </c>
      <c r="S184" s="31">
        <f>IF($A184="","",$L184-$M184+$Q184)</f>
        <v/>
      </c>
    </row>
    <row r="185" ht="17" customHeight="1">
      <c r="A185" s="26" t="n"/>
      <c r="B185" s="27" t="n"/>
      <c r="C185" s="27" t="n"/>
      <c r="D185" s="27" t="n"/>
      <c r="E185" s="27" t="n"/>
      <c r="F185" s="27" t="n"/>
      <c r="G185" s="27" t="n"/>
      <c r="H185" s="28">
        <f>IF($A185="","",SUM($B185:$G185))</f>
        <v/>
      </c>
      <c r="I185" s="29">
        <f>IF($A185="","",Rates!$C$6)</f>
        <v/>
      </c>
      <c r="J185" s="29">
        <f>IF($A185="","",Rates!$C$7)</f>
        <v/>
      </c>
      <c r="K185" s="29">
        <f>IF($A185="","",Rates!$C$8)</f>
        <v/>
      </c>
      <c r="L185" s="29">
        <f>IF($A185="","",($B185+$C185)*$I185)</f>
        <v/>
      </c>
      <c r="M185" s="29">
        <f>IF($A185="","",$G185*$J185+($E185+$F185+$G185)*$K185)</f>
        <v/>
      </c>
      <c r="N185" s="20" t="n"/>
      <c r="O185" s="10" t="n"/>
      <c r="P185" s="10" t="n"/>
      <c r="Q185" s="29">
        <f>IF($A185="","",IF($P185="YES",IF($O185="Bob",$N185,-$N185),0))</f>
        <v/>
      </c>
      <c r="R185" s="30">
        <f>IF($A185="","",IF(ROUND($S185,2)&gt;0,"Olivia pays Bob "&amp;TEXT($S185,"#,##0.00"),IF(ROUND($S185,2)&lt;0,"Bob pays Olivia "&amp;TEXT(-$S185,"#,##0.00"),"Nothing owed")))</f>
        <v/>
      </c>
      <c r="S185" s="31">
        <f>IF($A185="","",$L185-$M185+$Q185)</f>
        <v/>
      </c>
    </row>
    <row r="186" ht="17" customHeight="1">
      <c r="A186" s="26" t="n"/>
      <c r="B186" s="27" t="n"/>
      <c r="C186" s="27" t="n"/>
      <c r="D186" s="27" t="n"/>
      <c r="E186" s="27" t="n"/>
      <c r="F186" s="27" t="n"/>
      <c r="G186" s="27" t="n"/>
      <c r="H186" s="28">
        <f>IF($A186="","",SUM($B186:$G186))</f>
        <v/>
      </c>
      <c r="I186" s="29">
        <f>IF($A186="","",Rates!$C$6)</f>
        <v/>
      </c>
      <c r="J186" s="29">
        <f>IF($A186="","",Rates!$C$7)</f>
        <v/>
      </c>
      <c r="K186" s="29">
        <f>IF($A186="","",Rates!$C$8)</f>
        <v/>
      </c>
      <c r="L186" s="29">
        <f>IF($A186="","",($B186+$C186)*$I186)</f>
        <v/>
      </c>
      <c r="M186" s="29">
        <f>IF($A186="","",$G186*$J186+($E186+$F186+$G186)*$K186)</f>
        <v/>
      </c>
      <c r="N186" s="20" t="n"/>
      <c r="O186" s="10" t="n"/>
      <c r="P186" s="10" t="n"/>
      <c r="Q186" s="29">
        <f>IF($A186="","",IF($P186="YES",IF($O186="Bob",$N186,-$N186),0))</f>
        <v/>
      </c>
      <c r="R186" s="30">
        <f>IF($A186="","",IF(ROUND($S186,2)&gt;0,"Olivia pays Bob "&amp;TEXT($S186,"#,##0.00"),IF(ROUND($S186,2)&lt;0,"Bob pays Olivia "&amp;TEXT(-$S186,"#,##0.00"),"Nothing owed")))</f>
        <v/>
      </c>
      <c r="S186" s="31">
        <f>IF($A186="","",$L186-$M186+$Q186)</f>
        <v/>
      </c>
    </row>
    <row r="187" ht="17" customHeight="1">
      <c r="A187" s="26" t="n"/>
      <c r="B187" s="27" t="n"/>
      <c r="C187" s="27" t="n"/>
      <c r="D187" s="27" t="n"/>
      <c r="E187" s="27" t="n"/>
      <c r="F187" s="27" t="n"/>
      <c r="G187" s="27" t="n"/>
      <c r="H187" s="28">
        <f>IF($A187="","",SUM($B187:$G187))</f>
        <v/>
      </c>
      <c r="I187" s="29">
        <f>IF($A187="","",Rates!$C$6)</f>
        <v/>
      </c>
      <c r="J187" s="29">
        <f>IF($A187="","",Rates!$C$7)</f>
        <v/>
      </c>
      <c r="K187" s="29">
        <f>IF($A187="","",Rates!$C$8)</f>
        <v/>
      </c>
      <c r="L187" s="29">
        <f>IF($A187="","",($B187+$C187)*$I187)</f>
        <v/>
      </c>
      <c r="M187" s="29">
        <f>IF($A187="","",$G187*$J187+($E187+$F187+$G187)*$K187)</f>
        <v/>
      </c>
      <c r="N187" s="20" t="n"/>
      <c r="O187" s="10" t="n"/>
      <c r="P187" s="10" t="n"/>
      <c r="Q187" s="29">
        <f>IF($A187="","",IF($P187="YES",IF($O187="Bob",$N187,-$N187),0))</f>
        <v/>
      </c>
      <c r="R187" s="30">
        <f>IF($A187="","",IF(ROUND($S187,2)&gt;0,"Olivia pays Bob "&amp;TEXT($S187,"#,##0.00"),IF(ROUND($S187,2)&lt;0,"Bob pays Olivia "&amp;TEXT(-$S187,"#,##0.00"),"Nothing owed")))</f>
        <v/>
      </c>
      <c r="S187" s="31">
        <f>IF($A187="","",$L187-$M187+$Q187)</f>
        <v/>
      </c>
    </row>
    <row r="188" ht="17" customHeight="1">
      <c r="A188" s="26" t="n"/>
      <c r="B188" s="27" t="n"/>
      <c r="C188" s="27" t="n"/>
      <c r="D188" s="27" t="n"/>
      <c r="E188" s="27" t="n"/>
      <c r="F188" s="27" t="n"/>
      <c r="G188" s="27" t="n"/>
      <c r="H188" s="28">
        <f>IF($A188="","",SUM($B188:$G188))</f>
        <v/>
      </c>
      <c r="I188" s="29">
        <f>IF($A188="","",Rates!$C$6)</f>
        <v/>
      </c>
      <c r="J188" s="29">
        <f>IF($A188="","",Rates!$C$7)</f>
        <v/>
      </c>
      <c r="K188" s="29">
        <f>IF($A188="","",Rates!$C$8)</f>
        <v/>
      </c>
      <c r="L188" s="29">
        <f>IF($A188="","",($B188+$C188)*$I188)</f>
        <v/>
      </c>
      <c r="M188" s="29">
        <f>IF($A188="","",$G188*$J188+($E188+$F188+$G188)*$K188)</f>
        <v/>
      </c>
      <c r="N188" s="20" t="n"/>
      <c r="O188" s="10" t="n"/>
      <c r="P188" s="10" t="n"/>
      <c r="Q188" s="29">
        <f>IF($A188="","",IF($P188="YES",IF($O188="Bob",$N188,-$N188),0))</f>
        <v/>
      </c>
      <c r="R188" s="30">
        <f>IF($A188="","",IF(ROUND($S188,2)&gt;0,"Olivia pays Bob "&amp;TEXT($S188,"#,##0.00"),IF(ROUND($S188,2)&lt;0,"Bob pays Olivia "&amp;TEXT(-$S188,"#,##0.00"),"Nothing owed")))</f>
        <v/>
      </c>
      <c r="S188" s="31">
        <f>IF($A188="","",$L188-$M188+$Q188)</f>
        <v/>
      </c>
    </row>
    <row r="189" ht="17" customHeight="1">
      <c r="A189" s="26" t="n"/>
      <c r="B189" s="27" t="n"/>
      <c r="C189" s="27" t="n"/>
      <c r="D189" s="27" t="n"/>
      <c r="E189" s="27" t="n"/>
      <c r="F189" s="27" t="n"/>
      <c r="G189" s="27" t="n"/>
      <c r="H189" s="28">
        <f>IF($A189="","",SUM($B189:$G189))</f>
        <v/>
      </c>
      <c r="I189" s="29">
        <f>IF($A189="","",Rates!$C$6)</f>
        <v/>
      </c>
      <c r="J189" s="29">
        <f>IF($A189="","",Rates!$C$7)</f>
        <v/>
      </c>
      <c r="K189" s="29">
        <f>IF($A189="","",Rates!$C$8)</f>
        <v/>
      </c>
      <c r="L189" s="29">
        <f>IF($A189="","",($B189+$C189)*$I189)</f>
        <v/>
      </c>
      <c r="M189" s="29">
        <f>IF($A189="","",$G189*$J189+($E189+$F189+$G189)*$K189)</f>
        <v/>
      </c>
      <c r="N189" s="20" t="n"/>
      <c r="O189" s="10" t="n"/>
      <c r="P189" s="10" t="n"/>
      <c r="Q189" s="29">
        <f>IF($A189="","",IF($P189="YES",IF($O189="Bob",$N189,-$N189),0))</f>
        <v/>
      </c>
      <c r="R189" s="30">
        <f>IF($A189="","",IF(ROUND($S189,2)&gt;0,"Olivia pays Bob "&amp;TEXT($S189,"#,##0.00"),IF(ROUND($S189,2)&lt;0,"Bob pays Olivia "&amp;TEXT(-$S189,"#,##0.00"),"Nothing owed")))</f>
        <v/>
      </c>
      <c r="S189" s="31">
        <f>IF($A189="","",$L189-$M189+$Q189)</f>
        <v/>
      </c>
    </row>
    <row r="190" ht="17" customHeight="1">
      <c r="A190" s="26" t="n"/>
      <c r="B190" s="27" t="n"/>
      <c r="C190" s="27" t="n"/>
      <c r="D190" s="27" t="n"/>
      <c r="E190" s="27" t="n"/>
      <c r="F190" s="27" t="n"/>
      <c r="G190" s="27" t="n"/>
      <c r="H190" s="28">
        <f>IF($A190="","",SUM($B190:$G190))</f>
        <v/>
      </c>
      <c r="I190" s="29">
        <f>IF($A190="","",Rates!$C$6)</f>
        <v/>
      </c>
      <c r="J190" s="29">
        <f>IF($A190="","",Rates!$C$7)</f>
        <v/>
      </c>
      <c r="K190" s="29">
        <f>IF($A190="","",Rates!$C$8)</f>
        <v/>
      </c>
      <c r="L190" s="29">
        <f>IF($A190="","",($B190+$C190)*$I190)</f>
        <v/>
      </c>
      <c r="M190" s="29">
        <f>IF($A190="","",$G190*$J190+($E190+$F190+$G190)*$K190)</f>
        <v/>
      </c>
      <c r="N190" s="20" t="n"/>
      <c r="O190" s="10" t="n"/>
      <c r="P190" s="10" t="n"/>
      <c r="Q190" s="29">
        <f>IF($A190="","",IF($P190="YES",IF($O190="Bob",$N190,-$N190),0))</f>
        <v/>
      </c>
      <c r="R190" s="30">
        <f>IF($A190="","",IF(ROUND($S190,2)&gt;0,"Olivia pays Bob "&amp;TEXT($S190,"#,##0.00"),IF(ROUND($S190,2)&lt;0,"Bob pays Olivia "&amp;TEXT(-$S190,"#,##0.00"),"Nothing owed")))</f>
        <v/>
      </c>
      <c r="S190" s="31">
        <f>IF($A190="","",$L190-$M190+$Q190)</f>
        <v/>
      </c>
    </row>
    <row r="191" ht="17" customHeight="1">
      <c r="A191" s="26" t="n"/>
      <c r="B191" s="27" t="n"/>
      <c r="C191" s="27" t="n"/>
      <c r="D191" s="27" t="n"/>
      <c r="E191" s="27" t="n"/>
      <c r="F191" s="27" t="n"/>
      <c r="G191" s="27" t="n"/>
      <c r="H191" s="28">
        <f>IF($A191="","",SUM($B191:$G191))</f>
        <v/>
      </c>
      <c r="I191" s="29">
        <f>IF($A191="","",Rates!$C$6)</f>
        <v/>
      </c>
      <c r="J191" s="29">
        <f>IF($A191="","",Rates!$C$7)</f>
        <v/>
      </c>
      <c r="K191" s="29">
        <f>IF($A191="","",Rates!$C$8)</f>
        <v/>
      </c>
      <c r="L191" s="29">
        <f>IF($A191="","",($B191+$C191)*$I191)</f>
        <v/>
      </c>
      <c r="M191" s="29">
        <f>IF($A191="","",$G191*$J191+($E191+$F191+$G191)*$K191)</f>
        <v/>
      </c>
      <c r="N191" s="20" t="n"/>
      <c r="O191" s="10" t="n"/>
      <c r="P191" s="10" t="n"/>
      <c r="Q191" s="29">
        <f>IF($A191="","",IF($P191="YES",IF($O191="Bob",$N191,-$N191),0))</f>
        <v/>
      </c>
      <c r="R191" s="30">
        <f>IF($A191="","",IF(ROUND($S191,2)&gt;0,"Olivia pays Bob "&amp;TEXT($S191,"#,##0.00"),IF(ROUND($S191,2)&lt;0,"Bob pays Olivia "&amp;TEXT(-$S191,"#,##0.00"),"Nothing owed")))</f>
        <v/>
      </c>
      <c r="S191" s="31">
        <f>IF($A191="","",$L191-$M191+$Q191)</f>
        <v/>
      </c>
    </row>
    <row r="192" ht="17" customHeight="1">
      <c r="A192" s="26" t="n"/>
      <c r="B192" s="27" t="n"/>
      <c r="C192" s="27" t="n"/>
      <c r="D192" s="27" t="n"/>
      <c r="E192" s="27" t="n"/>
      <c r="F192" s="27" t="n"/>
      <c r="G192" s="27" t="n"/>
      <c r="H192" s="28">
        <f>IF($A192="","",SUM($B192:$G192))</f>
        <v/>
      </c>
      <c r="I192" s="29">
        <f>IF($A192="","",Rates!$C$6)</f>
        <v/>
      </c>
      <c r="J192" s="29">
        <f>IF($A192="","",Rates!$C$7)</f>
        <v/>
      </c>
      <c r="K192" s="29">
        <f>IF($A192="","",Rates!$C$8)</f>
        <v/>
      </c>
      <c r="L192" s="29">
        <f>IF($A192="","",($B192+$C192)*$I192)</f>
        <v/>
      </c>
      <c r="M192" s="29">
        <f>IF($A192="","",$G192*$J192+($E192+$F192+$G192)*$K192)</f>
        <v/>
      </c>
      <c r="N192" s="20" t="n"/>
      <c r="O192" s="10" t="n"/>
      <c r="P192" s="10" t="n"/>
      <c r="Q192" s="29">
        <f>IF($A192="","",IF($P192="YES",IF($O192="Bob",$N192,-$N192),0))</f>
        <v/>
      </c>
      <c r="R192" s="30">
        <f>IF($A192="","",IF(ROUND($S192,2)&gt;0,"Olivia pays Bob "&amp;TEXT($S192,"#,##0.00"),IF(ROUND($S192,2)&lt;0,"Bob pays Olivia "&amp;TEXT(-$S192,"#,##0.00"),"Nothing owed")))</f>
        <v/>
      </c>
      <c r="S192" s="31">
        <f>IF($A192="","",$L192-$M192+$Q192)</f>
        <v/>
      </c>
    </row>
    <row r="193" ht="17" customHeight="1">
      <c r="A193" s="26" t="n"/>
      <c r="B193" s="27" t="n"/>
      <c r="C193" s="27" t="n"/>
      <c r="D193" s="27" t="n"/>
      <c r="E193" s="27" t="n"/>
      <c r="F193" s="27" t="n"/>
      <c r="G193" s="27" t="n"/>
      <c r="H193" s="28">
        <f>IF($A193="","",SUM($B193:$G193))</f>
        <v/>
      </c>
      <c r="I193" s="29">
        <f>IF($A193="","",Rates!$C$6)</f>
        <v/>
      </c>
      <c r="J193" s="29">
        <f>IF($A193="","",Rates!$C$7)</f>
        <v/>
      </c>
      <c r="K193" s="29">
        <f>IF($A193="","",Rates!$C$8)</f>
        <v/>
      </c>
      <c r="L193" s="29">
        <f>IF($A193="","",($B193+$C193)*$I193)</f>
        <v/>
      </c>
      <c r="M193" s="29">
        <f>IF($A193="","",$G193*$J193+($E193+$F193+$G193)*$K193)</f>
        <v/>
      </c>
      <c r="N193" s="20" t="n"/>
      <c r="O193" s="10" t="n"/>
      <c r="P193" s="10" t="n"/>
      <c r="Q193" s="29">
        <f>IF($A193="","",IF($P193="YES",IF($O193="Bob",$N193,-$N193),0))</f>
        <v/>
      </c>
      <c r="R193" s="30">
        <f>IF($A193="","",IF(ROUND($S193,2)&gt;0,"Olivia pays Bob "&amp;TEXT($S193,"#,##0.00"),IF(ROUND($S193,2)&lt;0,"Bob pays Olivia "&amp;TEXT(-$S193,"#,##0.00"),"Nothing owed")))</f>
        <v/>
      </c>
      <c r="S193" s="31">
        <f>IF($A193="","",$L193-$M193+$Q193)</f>
        <v/>
      </c>
    </row>
    <row r="194" ht="17" customHeight="1">
      <c r="A194" s="26" t="n"/>
      <c r="B194" s="27" t="n"/>
      <c r="C194" s="27" t="n"/>
      <c r="D194" s="27" t="n"/>
      <c r="E194" s="27" t="n"/>
      <c r="F194" s="27" t="n"/>
      <c r="G194" s="27" t="n"/>
      <c r="H194" s="28">
        <f>IF($A194="","",SUM($B194:$G194))</f>
        <v/>
      </c>
      <c r="I194" s="29">
        <f>IF($A194="","",Rates!$C$6)</f>
        <v/>
      </c>
      <c r="J194" s="29">
        <f>IF($A194="","",Rates!$C$7)</f>
        <v/>
      </c>
      <c r="K194" s="29">
        <f>IF($A194="","",Rates!$C$8)</f>
        <v/>
      </c>
      <c r="L194" s="29">
        <f>IF($A194="","",($B194+$C194)*$I194)</f>
        <v/>
      </c>
      <c r="M194" s="29">
        <f>IF($A194="","",$G194*$J194+($E194+$F194+$G194)*$K194)</f>
        <v/>
      </c>
      <c r="N194" s="20" t="n"/>
      <c r="O194" s="10" t="n"/>
      <c r="P194" s="10" t="n"/>
      <c r="Q194" s="29">
        <f>IF($A194="","",IF($P194="YES",IF($O194="Bob",$N194,-$N194),0))</f>
        <v/>
      </c>
      <c r="R194" s="30">
        <f>IF($A194="","",IF(ROUND($S194,2)&gt;0,"Olivia pays Bob "&amp;TEXT($S194,"#,##0.00"),IF(ROUND($S194,2)&lt;0,"Bob pays Olivia "&amp;TEXT(-$S194,"#,##0.00"),"Nothing owed")))</f>
        <v/>
      </c>
      <c r="S194" s="31">
        <f>IF($A194="","",$L194-$M194+$Q194)</f>
        <v/>
      </c>
    </row>
    <row r="195" ht="17" customHeight="1">
      <c r="A195" s="26" t="n"/>
      <c r="B195" s="27" t="n"/>
      <c r="C195" s="27" t="n"/>
      <c r="D195" s="27" t="n"/>
      <c r="E195" s="27" t="n"/>
      <c r="F195" s="27" t="n"/>
      <c r="G195" s="27" t="n"/>
      <c r="H195" s="28">
        <f>IF($A195="","",SUM($B195:$G195))</f>
        <v/>
      </c>
      <c r="I195" s="29">
        <f>IF($A195="","",Rates!$C$6)</f>
        <v/>
      </c>
      <c r="J195" s="29">
        <f>IF($A195="","",Rates!$C$7)</f>
        <v/>
      </c>
      <c r="K195" s="29">
        <f>IF($A195="","",Rates!$C$8)</f>
        <v/>
      </c>
      <c r="L195" s="29">
        <f>IF($A195="","",($B195+$C195)*$I195)</f>
        <v/>
      </c>
      <c r="M195" s="29">
        <f>IF($A195="","",$G195*$J195+($E195+$F195+$G195)*$K195)</f>
        <v/>
      </c>
      <c r="N195" s="20" t="n"/>
      <c r="O195" s="10" t="n"/>
      <c r="P195" s="10" t="n"/>
      <c r="Q195" s="29">
        <f>IF($A195="","",IF($P195="YES",IF($O195="Bob",$N195,-$N195),0))</f>
        <v/>
      </c>
      <c r="R195" s="30">
        <f>IF($A195="","",IF(ROUND($S195,2)&gt;0,"Olivia pays Bob "&amp;TEXT($S195,"#,##0.00"),IF(ROUND($S195,2)&lt;0,"Bob pays Olivia "&amp;TEXT(-$S195,"#,##0.00"),"Nothing owed")))</f>
        <v/>
      </c>
      <c r="S195" s="31">
        <f>IF($A195="","",$L195-$M195+$Q195)</f>
        <v/>
      </c>
    </row>
    <row r="196" ht="17" customHeight="1">
      <c r="A196" s="26" t="n"/>
      <c r="B196" s="27" t="n"/>
      <c r="C196" s="27" t="n"/>
      <c r="D196" s="27" t="n"/>
      <c r="E196" s="27" t="n"/>
      <c r="F196" s="27" t="n"/>
      <c r="G196" s="27" t="n"/>
      <c r="H196" s="28">
        <f>IF($A196="","",SUM($B196:$G196))</f>
        <v/>
      </c>
      <c r="I196" s="29">
        <f>IF($A196="","",Rates!$C$6)</f>
        <v/>
      </c>
      <c r="J196" s="29">
        <f>IF($A196="","",Rates!$C$7)</f>
        <v/>
      </c>
      <c r="K196" s="29">
        <f>IF($A196="","",Rates!$C$8)</f>
        <v/>
      </c>
      <c r="L196" s="29">
        <f>IF($A196="","",($B196+$C196)*$I196)</f>
        <v/>
      </c>
      <c r="M196" s="29">
        <f>IF($A196="","",$G196*$J196+($E196+$F196+$G196)*$K196)</f>
        <v/>
      </c>
      <c r="N196" s="20" t="n"/>
      <c r="O196" s="10" t="n"/>
      <c r="P196" s="10" t="n"/>
      <c r="Q196" s="29">
        <f>IF($A196="","",IF($P196="YES",IF($O196="Bob",$N196,-$N196),0))</f>
        <v/>
      </c>
      <c r="R196" s="30">
        <f>IF($A196="","",IF(ROUND($S196,2)&gt;0,"Olivia pays Bob "&amp;TEXT($S196,"#,##0.00"),IF(ROUND($S196,2)&lt;0,"Bob pays Olivia "&amp;TEXT(-$S196,"#,##0.00"),"Nothing owed")))</f>
        <v/>
      </c>
      <c r="S196" s="31">
        <f>IF($A196="","",$L196-$M196+$Q196)</f>
        <v/>
      </c>
    </row>
    <row r="197" ht="17" customHeight="1">
      <c r="A197" s="26" t="n"/>
      <c r="B197" s="27" t="n"/>
      <c r="C197" s="27" t="n"/>
      <c r="D197" s="27" t="n"/>
      <c r="E197" s="27" t="n"/>
      <c r="F197" s="27" t="n"/>
      <c r="G197" s="27" t="n"/>
      <c r="H197" s="28">
        <f>IF($A197="","",SUM($B197:$G197))</f>
        <v/>
      </c>
      <c r="I197" s="29">
        <f>IF($A197="","",Rates!$C$6)</f>
        <v/>
      </c>
      <c r="J197" s="29">
        <f>IF($A197="","",Rates!$C$7)</f>
        <v/>
      </c>
      <c r="K197" s="29">
        <f>IF($A197="","",Rates!$C$8)</f>
        <v/>
      </c>
      <c r="L197" s="29">
        <f>IF($A197="","",($B197+$C197)*$I197)</f>
        <v/>
      </c>
      <c r="M197" s="29">
        <f>IF($A197="","",$G197*$J197+($E197+$F197+$G197)*$K197)</f>
        <v/>
      </c>
      <c r="N197" s="20" t="n"/>
      <c r="O197" s="10" t="n"/>
      <c r="P197" s="10" t="n"/>
      <c r="Q197" s="29">
        <f>IF($A197="","",IF($P197="YES",IF($O197="Bob",$N197,-$N197),0))</f>
        <v/>
      </c>
      <c r="R197" s="30">
        <f>IF($A197="","",IF(ROUND($S197,2)&gt;0,"Olivia pays Bob "&amp;TEXT($S197,"#,##0.00"),IF(ROUND($S197,2)&lt;0,"Bob pays Olivia "&amp;TEXT(-$S197,"#,##0.00"),"Nothing owed")))</f>
        <v/>
      </c>
      <c r="S197" s="31">
        <f>IF($A197="","",$L197-$M197+$Q197)</f>
        <v/>
      </c>
    </row>
    <row r="198" ht="17" customHeight="1">
      <c r="A198" s="26" t="n"/>
      <c r="B198" s="27" t="n"/>
      <c r="C198" s="27" t="n"/>
      <c r="D198" s="27" t="n"/>
      <c r="E198" s="27" t="n"/>
      <c r="F198" s="27" t="n"/>
      <c r="G198" s="27" t="n"/>
      <c r="H198" s="28">
        <f>IF($A198="","",SUM($B198:$G198))</f>
        <v/>
      </c>
      <c r="I198" s="29">
        <f>IF($A198="","",Rates!$C$6)</f>
        <v/>
      </c>
      <c r="J198" s="29">
        <f>IF($A198="","",Rates!$C$7)</f>
        <v/>
      </c>
      <c r="K198" s="29">
        <f>IF($A198="","",Rates!$C$8)</f>
        <v/>
      </c>
      <c r="L198" s="29">
        <f>IF($A198="","",($B198+$C198)*$I198)</f>
        <v/>
      </c>
      <c r="M198" s="29">
        <f>IF($A198="","",$G198*$J198+($E198+$F198+$G198)*$K198)</f>
        <v/>
      </c>
      <c r="N198" s="20" t="n"/>
      <c r="O198" s="10" t="n"/>
      <c r="P198" s="10" t="n"/>
      <c r="Q198" s="29">
        <f>IF($A198="","",IF($P198="YES",IF($O198="Bob",$N198,-$N198),0))</f>
        <v/>
      </c>
      <c r="R198" s="30">
        <f>IF($A198="","",IF(ROUND($S198,2)&gt;0,"Olivia pays Bob "&amp;TEXT($S198,"#,##0.00"),IF(ROUND($S198,2)&lt;0,"Bob pays Olivia "&amp;TEXT(-$S198,"#,##0.00"),"Nothing owed")))</f>
        <v/>
      </c>
      <c r="S198" s="31">
        <f>IF($A198="","",$L198-$M198+$Q198)</f>
        <v/>
      </c>
    </row>
    <row r="199" ht="17" customHeight="1">
      <c r="A199" s="26" t="n"/>
      <c r="B199" s="27" t="n"/>
      <c r="C199" s="27" t="n"/>
      <c r="D199" s="27" t="n"/>
      <c r="E199" s="27" t="n"/>
      <c r="F199" s="27" t="n"/>
      <c r="G199" s="27" t="n"/>
      <c r="H199" s="28">
        <f>IF($A199="","",SUM($B199:$G199))</f>
        <v/>
      </c>
      <c r="I199" s="29">
        <f>IF($A199="","",Rates!$C$6)</f>
        <v/>
      </c>
      <c r="J199" s="29">
        <f>IF($A199="","",Rates!$C$7)</f>
        <v/>
      </c>
      <c r="K199" s="29">
        <f>IF($A199="","",Rates!$C$8)</f>
        <v/>
      </c>
      <c r="L199" s="29">
        <f>IF($A199="","",($B199+$C199)*$I199)</f>
        <v/>
      </c>
      <c r="M199" s="29">
        <f>IF($A199="","",$G199*$J199+($E199+$F199+$G199)*$K199)</f>
        <v/>
      </c>
      <c r="N199" s="20" t="n"/>
      <c r="O199" s="10" t="n"/>
      <c r="P199" s="10" t="n"/>
      <c r="Q199" s="29">
        <f>IF($A199="","",IF($P199="YES",IF($O199="Bob",$N199,-$N199),0))</f>
        <v/>
      </c>
      <c r="R199" s="30">
        <f>IF($A199="","",IF(ROUND($S199,2)&gt;0,"Olivia pays Bob "&amp;TEXT($S199,"#,##0.00"),IF(ROUND($S199,2)&lt;0,"Bob pays Olivia "&amp;TEXT(-$S199,"#,##0.00"),"Nothing owed")))</f>
        <v/>
      </c>
      <c r="S199" s="31">
        <f>IF($A199="","",$L199-$M199+$Q199)</f>
        <v/>
      </c>
    </row>
    <row r="200" ht="17" customHeight="1">
      <c r="A200" s="26" t="n"/>
      <c r="B200" s="27" t="n"/>
      <c r="C200" s="27" t="n"/>
      <c r="D200" s="27" t="n"/>
      <c r="E200" s="27" t="n"/>
      <c r="F200" s="27" t="n"/>
      <c r="G200" s="27" t="n"/>
      <c r="H200" s="28">
        <f>IF($A200="","",SUM($B200:$G200))</f>
        <v/>
      </c>
      <c r="I200" s="29">
        <f>IF($A200="","",Rates!$C$6)</f>
        <v/>
      </c>
      <c r="J200" s="29">
        <f>IF($A200="","",Rates!$C$7)</f>
        <v/>
      </c>
      <c r="K200" s="29">
        <f>IF($A200="","",Rates!$C$8)</f>
        <v/>
      </c>
      <c r="L200" s="29">
        <f>IF($A200="","",($B200+$C200)*$I200)</f>
        <v/>
      </c>
      <c r="M200" s="29">
        <f>IF($A200="","",$G200*$J200+($E200+$F200+$G200)*$K200)</f>
        <v/>
      </c>
      <c r="N200" s="20" t="n"/>
      <c r="O200" s="10" t="n"/>
      <c r="P200" s="10" t="n"/>
      <c r="Q200" s="29">
        <f>IF($A200="","",IF($P200="YES",IF($O200="Bob",$N200,-$N200),0))</f>
        <v/>
      </c>
      <c r="R200" s="30">
        <f>IF($A200="","",IF(ROUND($S200,2)&gt;0,"Olivia pays Bob "&amp;TEXT($S200,"#,##0.00"),IF(ROUND($S200,2)&lt;0,"Bob pays Olivia "&amp;TEXT(-$S200,"#,##0.00"),"Nothing owed")))</f>
        <v/>
      </c>
      <c r="S200" s="31">
        <f>IF($A200="","",$L200-$M200+$Q200)</f>
        <v/>
      </c>
    </row>
    <row r="201" ht="17" customHeight="1">
      <c r="A201" s="26" t="n"/>
      <c r="B201" s="27" t="n"/>
      <c r="C201" s="27" t="n"/>
      <c r="D201" s="27" t="n"/>
      <c r="E201" s="27" t="n"/>
      <c r="F201" s="27" t="n"/>
      <c r="G201" s="27" t="n"/>
      <c r="H201" s="28">
        <f>IF($A201="","",SUM($B201:$G201))</f>
        <v/>
      </c>
      <c r="I201" s="29">
        <f>IF($A201="","",Rates!$C$6)</f>
        <v/>
      </c>
      <c r="J201" s="29">
        <f>IF($A201="","",Rates!$C$7)</f>
        <v/>
      </c>
      <c r="K201" s="29">
        <f>IF($A201="","",Rates!$C$8)</f>
        <v/>
      </c>
      <c r="L201" s="29">
        <f>IF($A201="","",($B201+$C201)*$I201)</f>
        <v/>
      </c>
      <c r="M201" s="29">
        <f>IF($A201="","",$G201*$J201+($E201+$F201+$G201)*$K201)</f>
        <v/>
      </c>
      <c r="N201" s="20" t="n"/>
      <c r="O201" s="10" t="n"/>
      <c r="P201" s="10" t="n"/>
      <c r="Q201" s="29">
        <f>IF($A201="","",IF($P201="YES",IF($O201="Bob",$N201,-$N201),0))</f>
        <v/>
      </c>
      <c r="R201" s="30">
        <f>IF($A201="","",IF(ROUND($S201,2)&gt;0,"Olivia pays Bob "&amp;TEXT($S201,"#,##0.00"),IF(ROUND($S201,2)&lt;0,"Bob pays Olivia "&amp;TEXT(-$S201,"#,##0.00"),"Nothing owed")))</f>
        <v/>
      </c>
      <c r="S201" s="31">
        <f>IF($A201="","",$L201-$M201+$Q201)</f>
        <v/>
      </c>
    </row>
    <row r="202" ht="17" customHeight="1">
      <c r="A202" s="26" t="n"/>
      <c r="B202" s="27" t="n"/>
      <c r="C202" s="27" t="n"/>
      <c r="D202" s="27" t="n"/>
      <c r="E202" s="27" t="n"/>
      <c r="F202" s="27" t="n"/>
      <c r="G202" s="27" t="n"/>
      <c r="H202" s="28">
        <f>IF($A202="","",SUM($B202:$G202))</f>
        <v/>
      </c>
      <c r="I202" s="29">
        <f>IF($A202="","",Rates!$C$6)</f>
        <v/>
      </c>
      <c r="J202" s="29">
        <f>IF($A202="","",Rates!$C$7)</f>
        <v/>
      </c>
      <c r="K202" s="29">
        <f>IF($A202="","",Rates!$C$8)</f>
        <v/>
      </c>
      <c r="L202" s="29">
        <f>IF($A202="","",($B202+$C202)*$I202)</f>
        <v/>
      </c>
      <c r="M202" s="29">
        <f>IF($A202="","",$G202*$J202+($E202+$F202+$G202)*$K202)</f>
        <v/>
      </c>
      <c r="N202" s="20" t="n"/>
      <c r="O202" s="10" t="n"/>
      <c r="P202" s="10" t="n"/>
      <c r="Q202" s="29">
        <f>IF($A202="","",IF($P202="YES",IF($O202="Bob",$N202,-$N202),0))</f>
        <v/>
      </c>
      <c r="R202" s="30">
        <f>IF($A202="","",IF(ROUND($S202,2)&gt;0,"Olivia pays Bob "&amp;TEXT($S202,"#,##0.00"),IF(ROUND($S202,2)&lt;0,"Bob pays Olivia "&amp;TEXT(-$S202,"#,##0.00"),"Nothing owed")))</f>
        <v/>
      </c>
      <c r="S202" s="31">
        <f>IF($A202="","",$L202-$M202+$Q202)</f>
        <v/>
      </c>
    </row>
    <row r="203" ht="17" customHeight="1">
      <c r="A203" s="26" t="n"/>
      <c r="B203" s="27" t="n"/>
      <c r="C203" s="27" t="n"/>
      <c r="D203" s="27" t="n"/>
      <c r="E203" s="27" t="n"/>
      <c r="F203" s="27" t="n"/>
      <c r="G203" s="27" t="n"/>
      <c r="H203" s="28">
        <f>IF($A203="","",SUM($B203:$G203))</f>
        <v/>
      </c>
      <c r="I203" s="29">
        <f>IF($A203="","",Rates!$C$6)</f>
        <v/>
      </c>
      <c r="J203" s="29">
        <f>IF($A203="","",Rates!$C$7)</f>
        <v/>
      </c>
      <c r="K203" s="29">
        <f>IF($A203="","",Rates!$C$8)</f>
        <v/>
      </c>
      <c r="L203" s="29">
        <f>IF($A203="","",($B203+$C203)*$I203)</f>
        <v/>
      </c>
      <c r="M203" s="29">
        <f>IF($A203="","",$G203*$J203+($E203+$F203+$G203)*$K203)</f>
        <v/>
      </c>
      <c r="N203" s="20" t="n"/>
      <c r="O203" s="10" t="n"/>
      <c r="P203" s="10" t="n"/>
      <c r="Q203" s="29">
        <f>IF($A203="","",IF($P203="YES",IF($O203="Bob",$N203,-$N203),0))</f>
        <v/>
      </c>
      <c r="R203" s="30">
        <f>IF($A203="","",IF(ROUND($S203,2)&gt;0,"Olivia pays Bob "&amp;TEXT($S203,"#,##0.00"),IF(ROUND($S203,2)&lt;0,"Bob pays Olivia "&amp;TEXT(-$S203,"#,##0.00"),"Nothing owed")))</f>
        <v/>
      </c>
      <c r="S203" s="31">
        <f>IF($A203="","",$L203-$M203+$Q203)</f>
        <v/>
      </c>
    </row>
    <row r="204" ht="17" customHeight="1">
      <c r="A204" s="26" t="n"/>
      <c r="B204" s="27" t="n"/>
      <c r="C204" s="27" t="n"/>
      <c r="D204" s="27" t="n"/>
      <c r="E204" s="27" t="n"/>
      <c r="F204" s="27" t="n"/>
      <c r="G204" s="27" t="n"/>
      <c r="H204" s="28">
        <f>IF($A204="","",SUM($B204:$G204))</f>
        <v/>
      </c>
      <c r="I204" s="29">
        <f>IF($A204="","",Rates!$C$6)</f>
        <v/>
      </c>
      <c r="J204" s="29">
        <f>IF($A204="","",Rates!$C$7)</f>
        <v/>
      </c>
      <c r="K204" s="29">
        <f>IF($A204="","",Rates!$C$8)</f>
        <v/>
      </c>
      <c r="L204" s="29">
        <f>IF($A204="","",($B204+$C204)*$I204)</f>
        <v/>
      </c>
      <c r="M204" s="29">
        <f>IF($A204="","",$G204*$J204+($E204+$F204+$G204)*$K204)</f>
        <v/>
      </c>
      <c r="N204" s="20" t="n"/>
      <c r="O204" s="10" t="n"/>
      <c r="P204" s="10" t="n"/>
      <c r="Q204" s="29">
        <f>IF($A204="","",IF($P204="YES",IF($O204="Bob",$N204,-$N204),0))</f>
        <v/>
      </c>
      <c r="R204" s="30">
        <f>IF($A204="","",IF(ROUND($S204,2)&gt;0,"Olivia pays Bob "&amp;TEXT($S204,"#,##0.00"),IF(ROUND($S204,2)&lt;0,"Bob pays Olivia "&amp;TEXT(-$S204,"#,##0.00"),"Nothing owed")))</f>
        <v/>
      </c>
      <c r="S204" s="31">
        <f>IF($A204="","",$L204-$M204+$Q204)</f>
        <v/>
      </c>
    </row>
    <row r="205" ht="17" customHeight="1">
      <c r="A205" s="26" t="n"/>
      <c r="B205" s="27" t="n"/>
      <c r="C205" s="27" t="n"/>
      <c r="D205" s="27" t="n"/>
      <c r="E205" s="27" t="n"/>
      <c r="F205" s="27" t="n"/>
      <c r="G205" s="27" t="n"/>
      <c r="H205" s="28">
        <f>IF($A205="","",SUM($B205:$G205))</f>
        <v/>
      </c>
      <c r="I205" s="29">
        <f>IF($A205="","",Rates!$C$6)</f>
        <v/>
      </c>
      <c r="J205" s="29">
        <f>IF($A205="","",Rates!$C$7)</f>
        <v/>
      </c>
      <c r="K205" s="29">
        <f>IF($A205="","",Rates!$C$8)</f>
        <v/>
      </c>
      <c r="L205" s="29">
        <f>IF($A205="","",($B205+$C205)*$I205)</f>
        <v/>
      </c>
      <c r="M205" s="29">
        <f>IF($A205="","",$G205*$J205+($E205+$F205+$G205)*$K205)</f>
        <v/>
      </c>
      <c r="N205" s="20" t="n"/>
      <c r="O205" s="10" t="n"/>
      <c r="P205" s="10" t="n"/>
      <c r="Q205" s="29">
        <f>IF($A205="","",IF($P205="YES",IF($O205="Bob",$N205,-$N205),0))</f>
        <v/>
      </c>
      <c r="R205" s="30">
        <f>IF($A205="","",IF(ROUND($S205,2)&gt;0,"Olivia pays Bob "&amp;TEXT($S205,"#,##0.00"),IF(ROUND($S205,2)&lt;0,"Bob pays Olivia "&amp;TEXT(-$S205,"#,##0.00"),"Nothing owed")))</f>
        <v/>
      </c>
      <c r="S205" s="31">
        <f>IF($A205="","",$L205-$M205+$Q205)</f>
        <v/>
      </c>
    </row>
    <row r="206" ht="17" customHeight="1">
      <c r="A206" s="26" t="n"/>
      <c r="B206" s="27" t="n"/>
      <c r="C206" s="27" t="n"/>
      <c r="D206" s="27" t="n"/>
      <c r="E206" s="27" t="n"/>
      <c r="F206" s="27" t="n"/>
      <c r="G206" s="27" t="n"/>
      <c r="H206" s="28">
        <f>IF($A206="","",SUM($B206:$G206))</f>
        <v/>
      </c>
      <c r="I206" s="29">
        <f>IF($A206="","",Rates!$C$6)</f>
        <v/>
      </c>
      <c r="J206" s="29">
        <f>IF($A206="","",Rates!$C$7)</f>
        <v/>
      </c>
      <c r="K206" s="29">
        <f>IF($A206="","",Rates!$C$8)</f>
        <v/>
      </c>
      <c r="L206" s="29">
        <f>IF($A206="","",($B206+$C206)*$I206)</f>
        <v/>
      </c>
      <c r="M206" s="29">
        <f>IF($A206="","",$G206*$J206+($E206+$F206+$G206)*$K206)</f>
        <v/>
      </c>
      <c r="N206" s="20" t="n"/>
      <c r="O206" s="10" t="n"/>
      <c r="P206" s="10" t="n"/>
      <c r="Q206" s="29">
        <f>IF($A206="","",IF($P206="YES",IF($O206="Bob",$N206,-$N206),0))</f>
        <v/>
      </c>
      <c r="R206" s="30">
        <f>IF($A206="","",IF(ROUND($S206,2)&gt;0,"Olivia pays Bob "&amp;TEXT($S206,"#,##0.00"),IF(ROUND($S206,2)&lt;0,"Bob pays Olivia "&amp;TEXT(-$S206,"#,##0.00"),"Nothing owed")))</f>
        <v/>
      </c>
      <c r="S206" s="31">
        <f>IF($A206="","",$L206-$M206+$Q206)</f>
        <v/>
      </c>
    </row>
    <row r="207" ht="17" customHeight="1">
      <c r="A207" s="26" t="n"/>
      <c r="B207" s="27" t="n"/>
      <c r="C207" s="27" t="n"/>
      <c r="D207" s="27" t="n"/>
      <c r="E207" s="27" t="n"/>
      <c r="F207" s="27" t="n"/>
      <c r="G207" s="27" t="n"/>
      <c r="H207" s="28">
        <f>IF($A207="","",SUM($B207:$G207))</f>
        <v/>
      </c>
      <c r="I207" s="29">
        <f>IF($A207="","",Rates!$C$6)</f>
        <v/>
      </c>
      <c r="J207" s="29">
        <f>IF($A207="","",Rates!$C$7)</f>
        <v/>
      </c>
      <c r="K207" s="29">
        <f>IF($A207="","",Rates!$C$8)</f>
        <v/>
      </c>
      <c r="L207" s="29">
        <f>IF($A207="","",($B207+$C207)*$I207)</f>
        <v/>
      </c>
      <c r="M207" s="29">
        <f>IF($A207="","",$G207*$J207+($E207+$F207+$G207)*$K207)</f>
        <v/>
      </c>
      <c r="N207" s="20" t="n"/>
      <c r="O207" s="10" t="n"/>
      <c r="P207" s="10" t="n"/>
      <c r="Q207" s="29">
        <f>IF($A207="","",IF($P207="YES",IF($O207="Bob",$N207,-$N207),0))</f>
        <v/>
      </c>
      <c r="R207" s="30">
        <f>IF($A207="","",IF(ROUND($S207,2)&gt;0,"Olivia pays Bob "&amp;TEXT($S207,"#,##0.00"),IF(ROUND($S207,2)&lt;0,"Bob pays Olivia "&amp;TEXT(-$S207,"#,##0.00"),"Nothing owed")))</f>
        <v/>
      </c>
      <c r="S207" s="31">
        <f>IF($A207="","",$L207-$M207+$Q207)</f>
        <v/>
      </c>
    </row>
    <row r="208" ht="17" customHeight="1">
      <c r="A208" s="26" t="n"/>
      <c r="B208" s="27" t="n"/>
      <c r="C208" s="27" t="n"/>
      <c r="D208" s="27" t="n"/>
      <c r="E208" s="27" t="n"/>
      <c r="F208" s="27" t="n"/>
      <c r="G208" s="27" t="n"/>
      <c r="H208" s="28">
        <f>IF($A208="","",SUM($B208:$G208))</f>
        <v/>
      </c>
      <c r="I208" s="29">
        <f>IF($A208="","",Rates!$C$6)</f>
        <v/>
      </c>
      <c r="J208" s="29">
        <f>IF($A208="","",Rates!$C$7)</f>
        <v/>
      </c>
      <c r="K208" s="29">
        <f>IF($A208="","",Rates!$C$8)</f>
        <v/>
      </c>
      <c r="L208" s="29">
        <f>IF($A208="","",($B208+$C208)*$I208)</f>
        <v/>
      </c>
      <c r="M208" s="29">
        <f>IF($A208="","",$G208*$J208+($E208+$F208+$G208)*$K208)</f>
        <v/>
      </c>
      <c r="N208" s="20" t="n"/>
      <c r="O208" s="10" t="n"/>
      <c r="P208" s="10" t="n"/>
      <c r="Q208" s="29">
        <f>IF($A208="","",IF($P208="YES",IF($O208="Bob",$N208,-$N208),0))</f>
        <v/>
      </c>
      <c r="R208" s="30">
        <f>IF($A208="","",IF(ROUND($S208,2)&gt;0,"Olivia pays Bob "&amp;TEXT($S208,"#,##0.00"),IF(ROUND($S208,2)&lt;0,"Bob pays Olivia "&amp;TEXT(-$S208,"#,##0.00"),"Nothing owed")))</f>
        <v/>
      </c>
      <c r="S208" s="31">
        <f>IF($A208="","",$L208-$M208+$Q208)</f>
        <v/>
      </c>
    </row>
    <row r="209" ht="17" customHeight="1">
      <c r="A209" s="26" t="n"/>
      <c r="B209" s="27" t="n"/>
      <c r="C209" s="27" t="n"/>
      <c r="D209" s="27" t="n"/>
      <c r="E209" s="27" t="n"/>
      <c r="F209" s="27" t="n"/>
      <c r="G209" s="27" t="n"/>
      <c r="H209" s="28">
        <f>IF($A209="","",SUM($B209:$G209))</f>
        <v/>
      </c>
      <c r="I209" s="29">
        <f>IF($A209="","",Rates!$C$6)</f>
        <v/>
      </c>
      <c r="J209" s="29">
        <f>IF($A209="","",Rates!$C$7)</f>
        <v/>
      </c>
      <c r="K209" s="29">
        <f>IF($A209="","",Rates!$C$8)</f>
        <v/>
      </c>
      <c r="L209" s="29">
        <f>IF($A209="","",($B209+$C209)*$I209)</f>
        <v/>
      </c>
      <c r="M209" s="29">
        <f>IF($A209="","",$G209*$J209+($E209+$F209+$G209)*$K209)</f>
        <v/>
      </c>
      <c r="N209" s="20" t="n"/>
      <c r="O209" s="10" t="n"/>
      <c r="P209" s="10" t="n"/>
      <c r="Q209" s="29">
        <f>IF($A209="","",IF($P209="YES",IF($O209="Bob",$N209,-$N209),0))</f>
        <v/>
      </c>
      <c r="R209" s="30">
        <f>IF($A209="","",IF(ROUND($S209,2)&gt;0,"Olivia pays Bob "&amp;TEXT($S209,"#,##0.00"),IF(ROUND($S209,2)&lt;0,"Bob pays Olivia "&amp;TEXT(-$S209,"#,##0.00"),"Nothing owed")))</f>
        <v/>
      </c>
      <c r="S209" s="31">
        <f>IF($A209="","",$L209-$M209+$Q209)</f>
        <v/>
      </c>
    </row>
    <row r="210" ht="17" customHeight="1">
      <c r="A210" s="26" t="n"/>
      <c r="B210" s="27" t="n"/>
      <c r="C210" s="27" t="n"/>
      <c r="D210" s="27" t="n"/>
      <c r="E210" s="27" t="n"/>
      <c r="F210" s="27" t="n"/>
      <c r="G210" s="27" t="n"/>
      <c r="H210" s="28">
        <f>IF($A210="","",SUM($B210:$G210))</f>
        <v/>
      </c>
      <c r="I210" s="29">
        <f>IF($A210="","",Rates!$C$6)</f>
        <v/>
      </c>
      <c r="J210" s="29">
        <f>IF($A210="","",Rates!$C$7)</f>
        <v/>
      </c>
      <c r="K210" s="29">
        <f>IF($A210="","",Rates!$C$8)</f>
        <v/>
      </c>
      <c r="L210" s="29">
        <f>IF($A210="","",($B210+$C210)*$I210)</f>
        <v/>
      </c>
      <c r="M210" s="29">
        <f>IF($A210="","",$G210*$J210+($E210+$F210+$G210)*$K210)</f>
        <v/>
      </c>
      <c r="N210" s="20" t="n"/>
      <c r="O210" s="10" t="n"/>
      <c r="P210" s="10" t="n"/>
      <c r="Q210" s="29">
        <f>IF($A210="","",IF($P210="YES",IF($O210="Bob",$N210,-$N210),0))</f>
        <v/>
      </c>
      <c r="R210" s="30">
        <f>IF($A210="","",IF(ROUND($S210,2)&gt;0,"Olivia pays Bob "&amp;TEXT($S210,"#,##0.00"),IF(ROUND($S210,2)&lt;0,"Bob pays Olivia "&amp;TEXT(-$S210,"#,##0.00"),"Nothing owed")))</f>
        <v/>
      </c>
      <c r="S210" s="31">
        <f>IF($A210="","",$L210-$M210+$Q210)</f>
        <v/>
      </c>
    </row>
    <row r="211" ht="17" customHeight="1">
      <c r="A211" s="26" t="n"/>
      <c r="B211" s="27" t="n"/>
      <c r="C211" s="27" t="n"/>
      <c r="D211" s="27" t="n"/>
      <c r="E211" s="27" t="n"/>
      <c r="F211" s="27" t="n"/>
      <c r="G211" s="27" t="n"/>
      <c r="H211" s="28">
        <f>IF($A211="","",SUM($B211:$G211))</f>
        <v/>
      </c>
      <c r="I211" s="29">
        <f>IF($A211="","",Rates!$C$6)</f>
        <v/>
      </c>
      <c r="J211" s="29">
        <f>IF($A211="","",Rates!$C$7)</f>
        <v/>
      </c>
      <c r="K211" s="29">
        <f>IF($A211="","",Rates!$C$8)</f>
        <v/>
      </c>
      <c r="L211" s="29">
        <f>IF($A211="","",($B211+$C211)*$I211)</f>
        <v/>
      </c>
      <c r="M211" s="29">
        <f>IF($A211="","",$G211*$J211+($E211+$F211+$G211)*$K211)</f>
        <v/>
      </c>
      <c r="N211" s="20" t="n"/>
      <c r="O211" s="10" t="n"/>
      <c r="P211" s="10" t="n"/>
      <c r="Q211" s="29">
        <f>IF($A211="","",IF($P211="YES",IF($O211="Bob",$N211,-$N211),0))</f>
        <v/>
      </c>
      <c r="R211" s="30">
        <f>IF($A211="","",IF(ROUND($S211,2)&gt;0,"Olivia pays Bob "&amp;TEXT($S211,"#,##0.00"),IF(ROUND($S211,2)&lt;0,"Bob pays Olivia "&amp;TEXT(-$S211,"#,##0.00"),"Nothing owed")))</f>
        <v/>
      </c>
      <c r="S211" s="31">
        <f>IF($A211="","",$L211-$M211+$Q211)</f>
        <v/>
      </c>
    </row>
    <row r="212" ht="17" customHeight="1">
      <c r="A212" s="26" t="n"/>
      <c r="B212" s="27" t="n"/>
      <c r="C212" s="27" t="n"/>
      <c r="D212" s="27" t="n"/>
      <c r="E212" s="27" t="n"/>
      <c r="F212" s="27" t="n"/>
      <c r="G212" s="27" t="n"/>
      <c r="H212" s="28">
        <f>IF($A212="","",SUM($B212:$G212))</f>
        <v/>
      </c>
      <c r="I212" s="29">
        <f>IF($A212="","",Rates!$C$6)</f>
        <v/>
      </c>
      <c r="J212" s="29">
        <f>IF($A212="","",Rates!$C$7)</f>
        <v/>
      </c>
      <c r="K212" s="29">
        <f>IF($A212="","",Rates!$C$8)</f>
        <v/>
      </c>
      <c r="L212" s="29">
        <f>IF($A212="","",($B212+$C212)*$I212)</f>
        <v/>
      </c>
      <c r="M212" s="29">
        <f>IF($A212="","",$G212*$J212+($E212+$F212+$G212)*$K212)</f>
        <v/>
      </c>
      <c r="N212" s="20" t="n"/>
      <c r="O212" s="10" t="n"/>
      <c r="P212" s="10" t="n"/>
      <c r="Q212" s="29">
        <f>IF($A212="","",IF($P212="YES",IF($O212="Bob",$N212,-$N212),0))</f>
        <v/>
      </c>
      <c r="R212" s="30">
        <f>IF($A212="","",IF(ROUND($S212,2)&gt;0,"Olivia pays Bob "&amp;TEXT($S212,"#,##0.00"),IF(ROUND($S212,2)&lt;0,"Bob pays Olivia "&amp;TEXT(-$S212,"#,##0.00"),"Nothing owed")))</f>
        <v/>
      </c>
      <c r="S212" s="31">
        <f>IF($A212="","",$L212-$M212+$Q212)</f>
        <v/>
      </c>
    </row>
    <row r="213" ht="17" customHeight="1">
      <c r="A213" s="26" t="n"/>
      <c r="B213" s="27" t="n"/>
      <c r="C213" s="27" t="n"/>
      <c r="D213" s="27" t="n"/>
      <c r="E213" s="27" t="n"/>
      <c r="F213" s="27" t="n"/>
      <c r="G213" s="27" t="n"/>
      <c r="H213" s="28">
        <f>IF($A213="","",SUM($B213:$G213))</f>
        <v/>
      </c>
      <c r="I213" s="29">
        <f>IF($A213="","",Rates!$C$6)</f>
        <v/>
      </c>
      <c r="J213" s="29">
        <f>IF($A213="","",Rates!$C$7)</f>
        <v/>
      </c>
      <c r="K213" s="29">
        <f>IF($A213="","",Rates!$C$8)</f>
        <v/>
      </c>
      <c r="L213" s="29">
        <f>IF($A213="","",($B213+$C213)*$I213)</f>
        <v/>
      </c>
      <c r="M213" s="29">
        <f>IF($A213="","",$G213*$J213+($E213+$F213+$G213)*$K213)</f>
        <v/>
      </c>
      <c r="N213" s="20" t="n"/>
      <c r="O213" s="10" t="n"/>
      <c r="P213" s="10" t="n"/>
      <c r="Q213" s="29">
        <f>IF($A213="","",IF($P213="YES",IF($O213="Bob",$N213,-$N213),0))</f>
        <v/>
      </c>
      <c r="R213" s="30">
        <f>IF($A213="","",IF(ROUND($S213,2)&gt;0,"Olivia pays Bob "&amp;TEXT($S213,"#,##0.00"),IF(ROUND($S213,2)&lt;0,"Bob pays Olivia "&amp;TEXT(-$S213,"#,##0.00"),"Nothing owed")))</f>
        <v/>
      </c>
      <c r="S213" s="31">
        <f>IF($A213="","",$L213-$M213+$Q213)</f>
        <v/>
      </c>
    </row>
    <row r="214" ht="17" customHeight="1">
      <c r="A214" s="26" t="n"/>
      <c r="B214" s="27" t="n"/>
      <c r="C214" s="27" t="n"/>
      <c r="D214" s="27" t="n"/>
      <c r="E214" s="27" t="n"/>
      <c r="F214" s="27" t="n"/>
      <c r="G214" s="27" t="n"/>
      <c r="H214" s="28">
        <f>IF($A214="","",SUM($B214:$G214))</f>
        <v/>
      </c>
      <c r="I214" s="29">
        <f>IF($A214="","",Rates!$C$6)</f>
        <v/>
      </c>
      <c r="J214" s="29">
        <f>IF($A214="","",Rates!$C$7)</f>
        <v/>
      </c>
      <c r="K214" s="29">
        <f>IF($A214="","",Rates!$C$8)</f>
        <v/>
      </c>
      <c r="L214" s="29">
        <f>IF($A214="","",($B214+$C214)*$I214)</f>
        <v/>
      </c>
      <c r="M214" s="29">
        <f>IF($A214="","",$G214*$J214+($E214+$F214+$G214)*$K214)</f>
        <v/>
      </c>
      <c r="N214" s="20" t="n"/>
      <c r="O214" s="10" t="n"/>
      <c r="P214" s="10" t="n"/>
      <c r="Q214" s="29">
        <f>IF($A214="","",IF($P214="YES",IF($O214="Bob",$N214,-$N214),0))</f>
        <v/>
      </c>
      <c r="R214" s="30">
        <f>IF($A214="","",IF(ROUND($S214,2)&gt;0,"Olivia pays Bob "&amp;TEXT($S214,"#,##0.00"),IF(ROUND($S214,2)&lt;0,"Bob pays Olivia "&amp;TEXT(-$S214,"#,##0.00"),"Nothing owed")))</f>
        <v/>
      </c>
      <c r="S214" s="31">
        <f>IF($A214="","",$L214-$M214+$Q214)</f>
        <v/>
      </c>
    </row>
    <row r="215" ht="17" customHeight="1">
      <c r="A215" s="26" t="n"/>
      <c r="B215" s="27" t="n"/>
      <c r="C215" s="27" t="n"/>
      <c r="D215" s="27" t="n"/>
      <c r="E215" s="27" t="n"/>
      <c r="F215" s="27" t="n"/>
      <c r="G215" s="27" t="n"/>
      <c r="H215" s="28">
        <f>IF($A215="","",SUM($B215:$G215))</f>
        <v/>
      </c>
      <c r="I215" s="29">
        <f>IF($A215="","",Rates!$C$6)</f>
        <v/>
      </c>
      <c r="J215" s="29">
        <f>IF($A215="","",Rates!$C$7)</f>
        <v/>
      </c>
      <c r="K215" s="29">
        <f>IF($A215="","",Rates!$C$8)</f>
        <v/>
      </c>
      <c r="L215" s="29">
        <f>IF($A215="","",($B215+$C215)*$I215)</f>
        <v/>
      </c>
      <c r="M215" s="29">
        <f>IF($A215="","",$G215*$J215+($E215+$F215+$G215)*$K215)</f>
        <v/>
      </c>
      <c r="N215" s="20" t="n"/>
      <c r="O215" s="10" t="n"/>
      <c r="P215" s="10" t="n"/>
      <c r="Q215" s="29">
        <f>IF($A215="","",IF($P215="YES",IF($O215="Bob",$N215,-$N215),0))</f>
        <v/>
      </c>
      <c r="R215" s="30">
        <f>IF($A215="","",IF(ROUND($S215,2)&gt;0,"Olivia pays Bob "&amp;TEXT($S215,"#,##0.00"),IF(ROUND($S215,2)&lt;0,"Bob pays Olivia "&amp;TEXT(-$S215,"#,##0.00"),"Nothing owed")))</f>
        <v/>
      </c>
      <c r="S215" s="31">
        <f>IF($A215="","",$L215-$M215+$Q215)</f>
        <v/>
      </c>
    </row>
    <row r="216" ht="17" customHeight="1">
      <c r="A216" s="26" t="n"/>
      <c r="B216" s="27" t="n"/>
      <c r="C216" s="27" t="n"/>
      <c r="D216" s="27" t="n"/>
      <c r="E216" s="27" t="n"/>
      <c r="F216" s="27" t="n"/>
      <c r="G216" s="27" t="n"/>
      <c r="H216" s="28">
        <f>IF($A216="","",SUM($B216:$G216))</f>
        <v/>
      </c>
      <c r="I216" s="29">
        <f>IF($A216="","",Rates!$C$6)</f>
        <v/>
      </c>
      <c r="J216" s="29">
        <f>IF($A216="","",Rates!$C$7)</f>
        <v/>
      </c>
      <c r="K216" s="29">
        <f>IF($A216="","",Rates!$C$8)</f>
        <v/>
      </c>
      <c r="L216" s="29">
        <f>IF($A216="","",($B216+$C216)*$I216)</f>
        <v/>
      </c>
      <c r="M216" s="29">
        <f>IF($A216="","",$G216*$J216+($E216+$F216+$G216)*$K216)</f>
        <v/>
      </c>
      <c r="N216" s="20" t="n"/>
      <c r="O216" s="10" t="n"/>
      <c r="P216" s="10" t="n"/>
      <c r="Q216" s="29">
        <f>IF($A216="","",IF($P216="YES",IF($O216="Bob",$N216,-$N216),0))</f>
        <v/>
      </c>
      <c r="R216" s="30">
        <f>IF($A216="","",IF(ROUND($S216,2)&gt;0,"Olivia pays Bob "&amp;TEXT($S216,"#,##0.00"),IF(ROUND($S216,2)&lt;0,"Bob pays Olivia "&amp;TEXT(-$S216,"#,##0.00"),"Nothing owed")))</f>
        <v/>
      </c>
      <c r="S216" s="31">
        <f>IF($A216="","",$L216-$M216+$Q216)</f>
        <v/>
      </c>
    </row>
    <row r="217" ht="17" customHeight="1">
      <c r="A217" s="26" t="n"/>
      <c r="B217" s="27" t="n"/>
      <c r="C217" s="27" t="n"/>
      <c r="D217" s="27" t="n"/>
      <c r="E217" s="27" t="n"/>
      <c r="F217" s="27" t="n"/>
      <c r="G217" s="27" t="n"/>
      <c r="H217" s="28">
        <f>IF($A217="","",SUM($B217:$G217))</f>
        <v/>
      </c>
      <c r="I217" s="29">
        <f>IF($A217="","",Rates!$C$6)</f>
        <v/>
      </c>
      <c r="J217" s="29">
        <f>IF($A217="","",Rates!$C$7)</f>
        <v/>
      </c>
      <c r="K217" s="29">
        <f>IF($A217="","",Rates!$C$8)</f>
        <v/>
      </c>
      <c r="L217" s="29">
        <f>IF($A217="","",($B217+$C217)*$I217)</f>
        <v/>
      </c>
      <c r="M217" s="29">
        <f>IF($A217="","",$G217*$J217+($E217+$F217+$G217)*$K217)</f>
        <v/>
      </c>
      <c r="N217" s="20" t="n"/>
      <c r="O217" s="10" t="n"/>
      <c r="P217" s="10" t="n"/>
      <c r="Q217" s="29">
        <f>IF($A217="","",IF($P217="YES",IF($O217="Bob",$N217,-$N217),0))</f>
        <v/>
      </c>
      <c r="R217" s="30">
        <f>IF($A217="","",IF(ROUND($S217,2)&gt;0,"Olivia pays Bob "&amp;TEXT($S217,"#,##0.00"),IF(ROUND($S217,2)&lt;0,"Bob pays Olivia "&amp;TEXT(-$S217,"#,##0.00"),"Nothing owed")))</f>
        <v/>
      </c>
      <c r="S217" s="31">
        <f>IF($A217="","",$L217-$M217+$Q217)</f>
        <v/>
      </c>
    </row>
    <row r="218" ht="17" customHeight="1">
      <c r="A218" s="26" t="n"/>
      <c r="B218" s="27" t="n"/>
      <c r="C218" s="27" t="n"/>
      <c r="D218" s="27" t="n"/>
      <c r="E218" s="27" t="n"/>
      <c r="F218" s="27" t="n"/>
      <c r="G218" s="27" t="n"/>
      <c r="H218" s="28">
        <f>IF($A218="","",SUM($B218:$G218))</f>
        <v/>
      </c>
      <c r="I218" s="29">
        <f>IF($A218="","",Rates!$C$6)</f>
        <v/>
      </c>
      <c r="J218" s="29">
        <f>IF($A218="","",Rates!$C$7)</f>
        <v/>
      </c>
      <c r="K218" s="29">
        <f>IF($A218="","",Rates!$C$8)</f>
        <v/>
      </c>
      <c r="L218" s="29">
        <f>IF($A218="","",($B218+$C218)*$I218)</f>
        <v/>
      </c>
      <c r="M218" s="29">
        <f>IF($A218="","",$G218*$J218+($E218+$F218+$G218)*$K218)</f>
        <v/>
      </c>
      <c r="N218" s="20" t="n"/>
      <c r="O218" s="10" t="n"/>
      <c r="P218" s="10" t="n"/>
      <c r="Q218" s="29">
        <f>IF($A218="","",IF($P218="YES",IF($O218="Bob",$N218,-$N218),0))</f>
        <v/>
      </c>
      <c r="R218" s="30">
        <f>IF($A218="","",IF(ROUND($S218,2)&gt;0,"Olivia pays Bob "&amp;TEXT($S218,"#,##0.00"),IF(ROUND($S218,2)&lt;0,"Bob pays Olivia "&amp;TEXT(-$S218,"#,##0.00"),"Nothing owed")))</f>
        <v/>
      </c>
      <c r="S218" s="31">
        <f>IF($A218="","",$L218-$M218+$Q218)</f>
        <v/>
      </c>
    </row>
    <row r="219" ht="17" customHeight="1">
      <c r="A219" s="26" t="n"/>
      <c r="B219" s="27" t="n"/>
      <c r="C219" s="27" t="n"/>
      <c r="D219" s="27" t="n"/>
      <c r="E219" s="27" t="n"/>
      <c r="F219" s="27" t="n"/>
      <c r="G219" s="27" t="n"/>
      <c r="H219" s="28">
        <f>IF($A219="","",SUM($B219:$G219))</f>
        <v/>
      </c>
      <c r="I219" s="29">
        <f>IF($A219="","",Rates!$C$6)</f>
        <v/>
      </c>
      <c r="J219" s="29">
        <f>IF($A219="","",Rates!$C$7)</f>
        <v/>
      </c>
      <c r="K219" s="29">
        <f>IF($A219="","",Rates!$C$8)</f>
        <v/>
      </c>
      <c r="L219" s="29">
        <f>IF($A219="","",($B219+$C219)*$I219)</f>
        <v/>
      </c>
      <c r="M219" s="29">
        <f>IF($A219="","",$G219*$J219+($E219+$F219+$G219)*$K219)</f>
        <v/>
      </c>
      <c r="N219" s="20" t="n"/>
      <c r="O219" s="10" t="n"/>
      <c r="P219" s="10" t="n"/>
      <c r="Q219" s="29">
        <f>IF($A219="","",IF($P219="YES",IF($O219="Bob",$N219,-$N219),0))</f>
        <v/>
      </c>
      <c r="R219" s="30">
        <f>IF($A219="","",IF(ROUND($S219,2)&gt;0,"Olivia pays Bob "&amp;TEXT($S219,"#,##0.00"),IF(ROUND($S219,2)&lt;0,"Bob pays Olivia "&amp;TEXT(-$S219,"#,##0.00"),"Nothing owed")))</f>
        <v/>
      </c>
      <c r="S219" s="31">
        <f>IF($A219="","",$L219-$M219+$Q219)</f>
        <v/>
      </c>
    </row>
    <row r="220" ht="17" customHeight="1">
      <c r="A220" s="26" t="n"/>
      <c r="B220" s="27" t="n"/>
      <c r="C220" s="27" t="n"/>
      <c r="D220" s="27" t="n"/>
      <c r="E220" s="27" t="n"/>
      <c r="F220" s="27" t="n"/>
      <c r="G220" s="27" t="n"/>
      <c r="H220" s="28">
        <f>IF($A220="","",SUM($B220:$G220))</f>
        <v/>
      </c>
      <c r="I220" s="29">
        <f>IF($A220="","",Rates!$C$6)</f>
        <v/>
      </c>
      <c r="J220" s="29">
        <f>IF($A220="","",Rates!$C$7)</f>
        <v/>
      </c>
      <c r="K220" s="29">
        <f>IF($A220="","",Rates!$C$8)</f>
        <v/>
      </c>
      <c r="L220" s="29">
        <f>IF($A220="","",($B220+$C220)*$I220)</f>
        <v/>
      </c>
      <c r="M220" s="29">
        <f>IF($A220="","",$G220*$J220+($E220+$F220+$G220)*$K220)</f>
        <v/>
      </c>
      <c r="N220" s="20" t="n"/>
      <c r="O220" s="10" t="n"/>
      <c r="P220" s="10" t="n"/>
      <c r="Q220" s="29">
        <f>IF($A220="","",IF($P220="YES",IF($O220="Bob",$N220,-$N220),0))</f>
        <v/>
      </c>
      <c r="R220" s="30">
        <f>IF($A220="","",IF(ROUND($S220,2)&gt;0,"Olivia pays Bob "&amp;TEXT($S220,"#,##0.00"),IF(ROUND($S220,2)&lt;0,"Bob pays Olivia "&amp;TEXT(-$S220,"#,##0.00"),"Nothing owed")))</f>
        <v/>
      </c>
      <c r="S220" s="31">
        <f>IF($A220="","",$L220-$M220+$Q220)</f>
        <v/>
      </c>
    </row>
    <row r="221" ht="17" customHeight="1">
      <c r="A221" s="26" t="n"/>
      <c r="B221" s="27" t="n"/>
      <c r="C221" s="27" t="n"/>
      <c r="D221" s="27" t="n"/>
      <c r="E221" s="27" t="n"/>
      <c r="F221" s="27" t="n"/>
      <c r="G221" s="27" t="n"/>
      <c r="H221" s="28">
        <f>IF($A221="","",SUM($B221:$G221))</f>
        <v/>
      </c>
      <c r="I221" s="29">
        <f>IF($A221="","",Rates!$C$6)</f>
        <v/>
      </c>
      <c r="J221" s="29">
        <f>IF($A221="","",Rates!$C$7)</f>
        <v/>
      </c>
      <c r="K221" s="29">
        <f>IF($A221="","",Rates!$C$8)</f>
        <v/>
      </c>
      <c r="L221" s="29">
        <f>IF($A221="","",($B221+$C221)*$I221)</f>
        <v/>
      </c>
      <c r="M221" s="29">
        <f>IF($A221="","",$G221*$J221+($E221+$F221+$G221)*$K221)</f>
        <v/>
      </c>
      <c r="N221" s="20" t="n"/>
      <c r="O221" s="10" t="n"/>
      <c r="P221" s="10" t="n"/>
      <c r="Q221" s="29">
        <f>IF($A221="","",IF($P221="YES",IF($O221="Bob",$N221,-$N221),0))</f>
        <v/>
      </c>
      <c r="R221" s="30">
        <f>IF($A221="","",IF(ROUND($S221,2)&gt;0,"Olivia pays Bob "&amp;TEXT($S221,"#,##0.00"),IF(ROUND($S221,2)&lt;0,"Bob pays Olivia "&amp;TEXT(-$S221,"#,##0.00"),"Nothing owed")))</f>
        <v/>
      </c>
      <c r="S221" s="31">
        <f>IF($A221="","",$L221-$M221+$Q221)</f>
        <v/>
      </c>
    </row>
    <row r="222" ht="17" customHeight="1">
      <c r="A222" s="26" t="n"/>
      <c r="B222" s="27" t="n"/>
      <c r="C222" s="27" t="n"/>
      <c r="D222" s="27" t="n"/>
      <c r="E222" s="27" t="n"/>
      <c r="F222" s="27" t="n"/>
      <c r="G222" s="27" t="n"/>
      <c r="H222" s="28">
        <f>IF($A222="","",SUM($B222:$G222))</f>
        <v/>
      </c>
      <c r="I222" s="29">
        <f>IF($A222="","",Rates!$C$6)</f>
        <v/>
      </c>
      <c r="J222" s="29">
        <f>IF($A222="","",Rates!$C$7)</f>
        <v/>
      </c>
      <c r="K222" s="29">
        <f>IF($A222="","",Rates!$C$8)</f>
        <v/>
      </c>
      <c r="L222" s="29">
        <f>IF($A222="","",($B222+$C222)*$I222)</f>
        <v/>
      </c>
      <c r="M222" s="29">
        <f>IF($A222="","",$G222*$J222+($E222+$F222+$G222)*$K222)</f>
        <v/>
      </c>
      <c r="N222" s="20" t="n"/>
      <c r="O222" s="10" t="n"/>
      <c r="P222" s="10" t="n"/>
      <c r="Q222" s="29">
        <f>IF($A222="","",IF($P222="YES",IF($O222="Bob",$N222,-$N222),0))</f>
        <v/>
      </c>
      <c r="R222" s="30">
        <f>IF($A222="","",IF(ROUND($S222,2)&gt;0,"Olivia pays Bob "&amp;TEXT($S222,"#,##0.00"),IF(ROUND($S222,2)&lt;0,"Bob pays Olivia "&amp;TEXT(-$S222,"#,##0.00"),"Nothing owed")))</f>
        <v/>
      </c>
      <c r="S222" s="31">
        <f>IF($A222="","",$L222-$M222+$Q222)</f>
        <v/>
      </c>
    </row>
    <row r="223" ht="17" customHeight="1">
      <c r="A223" s="26" t="n"/>
      <c r="B223" s="27" t="n"/>
      <c r="C223" s="27" t="n"/>
      <c r="D223" s="27" t="n"/>
      <c r="E223" s="27" t="n"/>
      <c r="F223" s="27" t="n"/>
      <c r="G223" s="27" t="n"/>
      <c r="H223" s="28">
        <f>IF($A223="","",SUM($B223:$G223))</f>
        <v/>
      </c>
      <c r="I223" s="29">
        <f>IF($A223="","",Rates!$C$6)</f>
        <v/>
      </c>
      <c r="J223" s="29">
        <f>IF($A223="","",Rates!$C$7)</f>
        <v/>
      </c>
      <c r="K223" s="29">
        <f>IF($A223="","",Rates!$C$8)</f>
        <v/>
      </c>
      <c r="L223" s="29">
        <f>IF($A223="","",($B223+$C223)*$I223)</f>
        <v/>
      </c>
      <c r="M223" s="29">
        <f>IF($A223="","",$G223*$J223+($E223+$F223+$G223)*$K223)</f>
        <v/>
      </c>
      <c r="N223" s="20" t="n"/>
      <c r="O223" s="10" t="n"/>
      <c r="P223" s="10" t="n"/>
      <c r="Q223" s="29">
        <f>IF($A223="","",IF($P223="YES",IF($O223="Bob",$N223,-$N223),0))</f>
        <v/>
      </c>
      <c r="R223" s="30">
        <f>IF($A223="","",IF(ROUND($S223,2)&gt;0,"Olivia pays Bob "&amp;TEXT($S223,"#,##0.00"),IF(ROUND($S223,2)&lt;0,"Bob pays Olivia "&amp;TEXT(-$S223,"#,##0.00"),"Nothing owed")))</f>
        <v/>
      </c>
      <c r="S223" s="31">
        <f>IF($A223="","",$L223-$M223+$Q223)</f>
        <v/>
      </c>
    </row>
    <row r="224" ht="17" customHeight="1">
      <c r="A224" s="26" t="n"/>
      <c r="B224" s="27" t="n"/>
      <c r="C224" s="27" t="n"/>
      <c r="D224" s="27" t="n"/>
      <c r="E224" s="27" t="n"/>
      <c r="F224" s="27" t="n"/>
      <c r="G224" s="27" t="n"/>
      <c r="H224" s="28">
        <f>IF($A224="","",SUM($B224:$G224))</f>
        <v/>
      </c>
      <c r="I224" s="29">
        <f>IF($A224="","",Rates!$C$6)</f>
        <v/>
      </c>
      <c r="J224" s="29">
        <f>IF($A224="","",Rates!$C$7)</f>
        <v/>
      </c>
      <c r="K224" s="29">
        <f>IF($A224="","",Rates!$C$8)</f>
        <v/>
      </c>
      <c r="L224" s="29">
        <f>IF($A224="","",($B224+$C224)*$I224)</f>
        <v/>
      </c>
      <c r="M224" s="29">
        <f>IF($A224="","",$G224*$J224+($E224+$F224+$G224)*$K224)</f>
        <v/>
      </c>
      <c r="N224" s="20" t="n"/>
      <c r="O224" s="10" t="n"/>
      <c r="P224" s="10" t="n"/>
      <c r="Q224" s="29">
        <f>IF($A224="","",IF($P224="YES",IF($O224="Bob",$N224,-$N224),0))</f>
        <v/>
      </c>
      <c r="R224" s="30">
        <f>IF($A224="","",IF(ROUND($S224,2)&gt;0,"Olivia pays Bob "&amp;TEXT($S224,"#,##0.00"),IF(ROUND($S224,2)&lt;0,"Bob pays Olivia "&amp;TEXT(-$S224,"#,##0.00"),"Nothing owed")))</f>
        <v/>
      </c>
      <c r="S224" s="31">
        <f>IF($A224="","",$L224-$M224+$Q224)</f>
        <v/>
      </c>
    </row>
    <row r="225" ht="17" customHeight="1">
      <c r="A225" s="26" t="n"/>
      <c r="B225" s="27" t="n"/>
      <c r="C225" s="27" t="n"/>
      <c r="D225" s="27" t="n"/>
      <c r="E225" s="27" t="n"/>
      <c r="F225" s="27" t="n"/>
      <c r="G225" s="27" t="n"/>
      <c r="H225" s="28">
        <f>IF($A225="","",SUM($B225:$G225))</f>
        <v/>
      </c>
      <c r="I225" s="29">
        <f>IF($A225="","",Rates!$C$6)</f>
        <v/>
      </c>
      <c r="J225" s="29">
        <f>IF($A225="","",Rates!$C$7)</f>
        <v/>
      </c>
      <c r="K225" s="29">
        <f>IF($A225="","",Rates!$C$8)</f>
        <v/>
      </c>
      <c r="L225" s="29">
        <f>IF($A225="","",($B225+$C225)*$I225)</f>
        <v/>
      </c>
      <c r="M225" s="29">
        <f>IF($A225="","",$G225*$J225+($E225+$F225+$G225)*$K225)</f>
        <v/>
      </c>
      <c r="N225" s="20" t="n"/>
      <c r="O225" s="10" t="n"/>
      <c r="P225" s="10" t="n"/>
      <c r="Q225" s="29">
        <f>IF($A225="","",IF($P225="YES",IF($O225="Bob",$N225,-$N225),0))</f>
        <v/>
      </c>
      <c r="R225" s="30">
        <f>IF($A225="","",IF(ROUND($S225,2)&gt;0,"Olivia pays Bob "&amp;TEXT($S225,"#,##0.00"),IF(ROUND($S225,2)&lt;0,"Bob pays Olivia "&amp;TEXT(-$S225,"#,##0.00"),"Nothing owed")))</f>
        <v/>
      </c>
      <c r="S225" s="31">
        <f>IF($A225="","",$L225-$M225+$Q225)</f>
        <v/>
      </c>
    </row>
    <row r="226" ht="17" customHeight="1">
      <c r="A226" s="26" t="n"/>
      <c r="B226" s="27" t="n"/>
      <c r="C226" s="27" t="n"/>
      <c r="D226" s="27" t="n"/>
      <c r="E226" s="27" t="n"/>
      <c r="F226" s="27" t="n"/>
      <c r="G226" s="27" t="n"/>
      <c r="H226" s="28">
        <f>IF($A226="","",SUM($B226:$G226))</f>
        <v/>
      </c>
      <c r="I226" s="29">
        <f>IF($A226="","",Rates!$C$6)</f>
        <v/>
      </c>
      <c r="J226" s="29">
        <f>IF($A226="","",Rates!$C$7)</f>
        <v/>
      </c>
      <c r="K226" s="29">
        <f>IF($A226="","",Rates!$C$8)</f>
        <v/>
      </c>
      <c r="L226" s="29">
        <f>IF($A226="","",($B226+$C226)*$I226)</f>
        <v/>
      </c>
      <c r="M226" s="29">
        <f>IF($A226="","",$G226*$J226+($E226+$F226+$G226)*$K226)</f>
        <v/>
      </c>
      <c r="N226" s="20" t="n"/>
      <c r="O226" s="10" t="n"/>
      <c r="P226" s="10" t="n"/>
      <c r="Q226" s="29">
        <f>IF($A226="","",IF($P226="YES",IF($O226="Bob",$N226,-$N226),0))</f>
        <v/>
      </c>
      <c r="R226" s="30">
        <f>IF($A226="","",IF(ROUND($S226,2)&gt;0,"Olivia pays Bob "&amp;TEXT($S226,"#,##0.00"),IF(ROUND($S226,2)&lt;0,"Bob pays Olivia "&amp;TEXT(-$S226,"#,##0.00"),"Nothing owed")))</f>
        <v/>
      </c>
      <c r="S226" s="31">
        <f>IF($A226="","",$L226-$M226+$Q226)</f>
        <v/>
      </c>
    </row>
    <row r="227" ht="17" customHeight="1">
      <c r="A227" s="26" t="n"/>
      <c r="B227" s="27" t="n"/>
      <c r="C227" s="27" t="n"/>
      <c r="D227" s="27" t="n"/>
      <c r="E227" s="27" t="n"/>
      <c r="F227" s="27" t="n"/>
      <c r="G227" s="27" t="n"/>
      <c r="H227" s="28">
        <f>IF($A227="","",SUM($B227:$G227))</f>
        <v/>
      </c>
      <c r="I227" s="29">
        <f>IF($A227="","",Rates!$C$6)</f>
        <v/>
      </c>
      <c r="J227" s="29">
        <f>IF($A227="","",Rates!$C$7)</f>
        <v/>
      </c>
      <c r="K227" s="29">
        <f>IF($A227="","",Rates!$C$8)</f>
        <v/>
      </c>
      <c r="L227" s="29">
        <f>IF($A227="","",($B227+$C227)*$I227)</f>
        <v/>
      </c>
      <c r="M227" s="29">
        <f>IF($A227="","",$G227*$J227+($E227+$F227+$G227)*$K227)</f>
        <v/>
      </c>
      <c r="N227" s="20" t="n"/>
      <c r="O227" s="10" t="n"/>
      <c r="P227" s="10" t="n"/>
      <c r="Q227" s="29">
        <f>IF($A227="","",IF($P227="YES",IF($O227="Bob",$N227,-$N227),0))</f>
        <v/>
      </c>
      <c r="R227" s="30">
        <f>IF($A227="","",IF(ROUND($S227,2)&gt;0,"Olivia pays Bob "&amp;TEXT($S227,"#,##0.00"),IF(ROUND($S227,2)&lt;0,"Bob pays Olivia "&amp;TEXT(-$S227,"#,##0.00"),"Nothing owed")))</f>
        <v/>
      </c>
      <c r="S227" s="31">
        <f>IF($A227="","",$L227-$M227+$Q227)</f>
        <v/>
      </c>
    </row>
    <row r="228" ht="17" customHeight="1">
      <c r="A228" s="26" t="n"/>
      <c r="B228" s="27" t="n"/>
      <c r="C228" s="27" t="n"/>
      <c r="D228" s="27" t="n"/>
      <c r="E228" s="27" t="n"/>
      <c r="F228" s="27" t="n"/>
      <c r="G228" s="27" t="n"/>
      <c r="H228" s="28">
        <f>IF($A228="","",SUM($B228:$G228))</f>
        <v/>
      </c>
      <c r="I228" s="29">
        <f>IF($A228="","",Rates!$C$6)</f>
        <v/>
      </c>
      <c r="J228" s="29">
        <f>IF($A228="","",Rates!$C$7)</f>
        <v/>
      </c>
      <c r="K228" s="29">
        <f>IF($A228="","",Rates!$C$8)</f>
        <v/>
      </c>
      <c r="L228" s="29">
        <f>IF($A228="","",($B228+$C228)*$I228)</f>
        <v/>
      </c>
      <c r="M228" s="29">
        <f>IF($A228="","",$G228*$J228+($E228+$F228+$G228)*$K228)</f>
        <v/>
      </c>
      <c r="N228" s="20" t="n"/>
      <c r="O228" s="10" t="n"/>
      <c r="P228" s="10" t="n"/>
      <c r="Q228" s="29">
        <f>IF($A228="","",IF($P228="YES",IF($O228="Bob",$N228,-$N228),0))</f>
        <v/>
      </c>
      <c r="R228" s="30">
        <f>IF($A228="","",IF(ROUND($S228,2)&gt;0,"Olivia pays Bob "&amp;TEXT($S228,"#,##0.00"),IF(ROUND($S228,2)&lt;0,"Bob pays Olivia "&amp;TEXT(-$S228,"#,##0.00"),"Nothing owed")))</f>
        <v/>
      </c>
      <c r="S228" s="31">
        <f>IF($A228="","",$L228-$M228+$Q228)</f>
        <v/>
      </c>
    </row>
    <row r="229" ht="17" customHeight="1">
      <c r="A229" s="26" t="n"/>
      <c r="B229" s="27" t="n"/>
      <c r="C229" s="27" t="n"/>
      <c r="D229" s="27" t="n"/>
      <c r="E229" s="27" t="n"/>
      <c r="F229" s="27" t="n"/>
      <c r="G229" s="27" t="n"/>
      <c r="H229" s="28">
        <f>IF($A229="","",SUM($B229:$G229))</f>
        <v/>
      </c>
      <c r="I229" s="29">
        <f>IF($A229="","",Rates!$C$6)</f>
        <v/>
      </c>
      <c r="J229" s="29">
        <f>IF($A229="","",Rates!$C$7)</f>
        <v/>
      </c>
      <c r="K229" s="29">
        <f>IF($A229="","",Rates!$C$8)</f>
        <v/>
      </c>
      <c r="L229" s="29">
        <f>IF($A229="","",($B229+$C229)*$I229)</f>
        <v/>
      </c>
      <c r="M229" s="29">
        <f>IF($A229="","",$G229*$J229+($E229+$F229+$G229)*$K229)</f>
        <v/>
      </c>
      <c r="N229" s="20" t="n"/>
      <c r="O229" s="10" t="n"/>
      <c r="P229" s="10" t="n"/>
      <c r="Q229" s="29">
        <f>IF($A229="","",IF($P229="YES",IF($O229="Bob",$N229,-$N229),0))</f>
        <v/>
      </c>
      <c r="R229" s="30">
        <f>IF($A229="","",IF(ROUND($S229,2)&gt;0,"Olivia pays Bob "&amp;TEXT($S229,"#,##0.00"),IF(ROUND($S229,2)&lt;0,"Bob pays Olivia "&amp;TEXT(-$S229,"#,##0.00"),"Nothing owed")))</f>
        <v/>
      </c>
      <c r="S229" s="31">
        <f>IF($A229="","",$L229-$M229+$Q229)</f>
        <v/>
      </c>
    </row>
    <row r="230" ht="17" customHeight="1">
      <c r="A230" s="26" t="n"/>
      <c r="B230" s="27" t="n"/>
      <c r="C230" s="27" t="n"/>
      <c r="D230" s="27" t="n"/>
      <c r="E230" s="27" t="n"/>
      <c r="F230" s="27" t="n"/>
      <c r="G230" s="27" t="n"/>
      <c r="H230" s="28">
        <f>IF($A230="","",SUM($B230:$G230))</f>
        <v/>
      </c>
      <c r="I230" s="29">
        <f>IF($A230="","",Rates!$C$6)</f>
        <v/>
      </c>
      <c r="J230" s="29">
        <f>IF($A230="","",Rates!$C$7)</f>
        <v/>
      </c>
      <c r="K230" s="29">
        <f>IF($A230="","",Rates!$C$8)</f>
        <v/>
      </c>
      <c r="L230" s="29">
        <f>IF($A230="","",($B230+$C230)*$I230)</f>
        <v/>
      </c>
      <c r="M230" s="29">
        <f>IF($A230="","",$G230*$J230+($E230+$F230+$G230)*$K230)</f>
        <v/>
      </c>
      <c r="N230" s="20" t="n"/>
      <c r="O230" s="10" t="n"/>
      <c r="P230" s="10" t="n"/>
      <c r="Q230" s="29">
        <f>IF($A230="","",IF($P230="YES",IF($O230="Bob",$N230,-$N230),0))</f>
        <v/>
      </c>
      <c r="R230" s="30">
        <f>IF($A230="","",IF(ROUND($S230,2)&gt;0,"Olivia pays Bob "&amp;TEXT($S230,"#,##0.00"),IF(ROUND($S230,2)&lt;0,"Bob pays Olivia "&amp;TEXT(-$S230,"#,##0.00"),"Nothing owed")))</f>
        <v/>
      </c>
      <c r="S230" s="31">
        <f>IF($A230="","",$L230-$M230+$Q230)</f>
        <v/>
      </c>
    </row>
    <row r="231" ht="17" customHeight="1">
      <c r="A231" s="26" t="n"/>
      <c r="B231" s="27" t="n"/>
      <c r="C231" s="27" t="n"/>
      <c r="D231" s="27" t="n"/>
      <c r="E231" s="27" t="n"/>
      <c r="F231" s="27" t="n"/>
      <c r="G231" s="27" t="n"/>
      <c r="H231" s="28">
        <f>IF($A231="","",SUM($B231:$G231))</f>
        <v/>
      </c>
      <c r="I231" s="29">
        <f>IF($A231="","",Rates!$C$6)</f>
        <v/>
      </c>
      <c r="J231" s="29">
        <f>IF($A231="","",Rates!$C$7)</f>
        <v/>
      </c>
      <c r="K231" s="29">
        <f>IF($A231="","",Rates!$C$8)</f>
        <v/>
      </c>
      <c r="L231" s="29">
        <f>IF($A231="","",($B231+$C231)*$I231)</f>
        <v/>
      </c>
      <c r="M231" s="29">
        <f>IF($A231="","",$G231*$J231+($E231+$F231+$G231)*$K231)</f>
        <v/>
      </c>
      <c r="N231" s="20" t="n"/>
      <c r="O231" s="10" t="n"/>
      <c r="P231" s="10" t="n"/>
      <c r="Q231" s="29">
        <f>IF($A231="","",IF($P231="YES",IF($O231="Bob",$N231,-$N231),0))</f>
        <v/>
      </c>
      <c r="R231" s="30">
        <f>IF($A231="","",IF(ROUND($S231,2)&gt;0,"Olivia pays Bob "&amp;TEXT($S231,"#,##0.00"),IF(ROUND($S231,2)&lt;0,"Bob pays Olivia "&amp;TEXT(-$S231,"#,##0.00"),"Nothing owed")))</f>
        <v/>
      </c>
      <c r="S231" s="31">
        <f>IF($A231="","",$L231-$M231+$Q231)</f>
        <v/>
      </c>
    </row>
    <row r="232" ht="17" customHeight="1">
      <c r="A232" s="26" t="n"/>
      <c r="B232" s="27" t="n"/>
      <c r="C232" s="27" t="n"/>
      <c r="D232" s="27" t="n"/>
      <c r="E232" s="27" t="n"/>
      <c r="F232" s="27" t="n"/>
      <c r="G232" s="27" t="n"/>
      <c r="H232" s="28">
        <f>IF($A232="","",SUM($B232:$G232))</f>
        <v/>
      </c>
      <c r="I232" s="29">
        <f>IF($A232="","",Rates!$C$6)</f>
        <v/>
      </c>
      <c r="J232" s="29">
        <f>IF($A232="","",Rates!$C$7)</f>
        <v/>
      </c>
      <c r="K232" s="29">
        <f>IF($A232="","",Rates!$C$8)</f>
        <v/>
      </c>
      <c r="L232" s="29">
        <f>IF($A232="","",($B232+$C232)*$I232)</f>
        <v/>
      </c>
      <c r="M232" s="29">
        <f>IF($A232="","",$G232*$J232+($E232+$F232+$G232)*$K232)</f>
        <v/>
      </c>
      <c r="N232" s="20" t="n"/>
      <c r="O232" s="10" t="n"/>
      <c r="P232" s="10" t="n"/>
      <c r="Q232" s="29">
        <f>IF($A232="","",IF($P232="YES",IF($O232="Bob",$N232,-$N232),0))</f>
        <v/>
      </c>
      <c r="R232" s="30">
        <f>IF($A232="","",IF(ROUND($S232,2)&gt;0,"Olivia pays Bob "&amp;TEXT($S232,"#,##0.00"),IF(ROUND($S232,2)&lt;0,"Bob pays Olivia "&amp;TEXT(-$S232,"#,##0.00"),"Nothing owed")))</f>
        <v/>
      </c>
      <c r="S232" s="31">
        <f>IF($A232="","",$L232-$M232+$Q232)</f>
        <v/>
      </c>
    </row>
    <row r="233" ht="17" customHeight="1">
      <c r="A233" s="26" t="n"/>
      <c r="B233" s="27" t="n"/>
      <c r="C233" s="27" t="n"/>
      <c r="D233" s="27" t="n"/>
      <c r="E233" s="27" t="n"/>
      <c r="F233" s="27" t="n"/>
      <c r="G233" s="27" t="n"/>
      <c r="H233" s="28">
        <f>IF($A233="","",SUM($B233:$G233))</f>
        <v/>
      </c>
      <c r="I233" s="29">
        <f>IF($A233="","",Rates!$C$6)</f>
        <v/>
      </c>
      <c r="J233" s="29">
        <f>IF($A233="","",Rates!$C$7)</f>
        <v/>
      </c>
      <c r="K233" s="29">
        <f>IF($A233="","",Rates!$C$8)</f>
        <v/>
      </c>
      <c r="L233" s="29">
        <f>IF($A233="","",($B233+$C233)*$I233)</f>
        <v/>
      </c>
      <c r="M233" s="29">
        <f>IF($A233="","",$G233*$J233+($E233+$F233+$G233)*$K233)</f>
        <v/>
      </c>
      <c r="N233" s="20" t="n"/>
      <c r="O233" s="10" t="n"/>
      <c r="P233" s="10" t="n"/>
      <c r="Q233" s="29">
        <f>IF($A233="","",IF($P233="YES",IF($O233="Bob",$N233,-$N233),0))</f>
        <v/>
      </c>
      <c r="R233" s="30">
        <f>IF($A233="","",IF(ROUND($S233,2)&gt;0,"Olivia pays Bob "&amp;TEXT($S233,"#,##0.00"),IF(ROUND($S233,2)&lt;0,"Bob pays Olivia "&amp;TEXT(-$S233,"#,##0.00"),"Nothing owed")))</f>
        <v/>
      </c>
      <c r="S233" s="31">
        <f>IF($A233="","",$L233-$M233+$Q233)</f>
        <v/>
      </c>
    </row>
    <row r="234" ht="17" customHeight="1">
      <c r="A234" s="26" t="n"/>
      <c r="B234" s="27" t="n"/>
      <c r="C234" s="27" t="n"/>
      <c r="D234" s="27" t="n"/>
      <c r="E234" s="27" t="n"/>
      <c r="F234" s="27" t="n"/>
      <c r="G234" s="27" t="n"/>
      <c r="H234" s="28">
        <f>IF($A234="","",SUM($B234:$G234))</f>
        <v/>
      </c>
      <c r="I234" s="29">
        <f>IF($A234="","",Rates!$C$6)</f>
        <v/>
      </c>
      <c r="J234" s="29">
        <f>IF($A234="","",Rates!$C$7)</f>
        <v/>
      </c>
      <c r="K234" s="29">
        <f>IF($A234="","",Rates!$C$8)</f>
        <v/>
      </c>
      <c r="L234" s="29">
        <f>IF($A234="","",($B234+$C234)*$I234)</f>
        <v/>
      </c>
      <c r="M234" s="29">
        <f>IF($A234="","",$G234*$J234+($E234+$F234+$G234)*$K234)</f>
        <v/>
      </c>
      <c r="N234" s="20" t="n"/>
      <c r="O234" s="10" t="n"/>
      <c r="P234" s="10" t="n"/>
      <c r="Q234" s="29">
        <f>IF($A234="","",IF($P234="YES",IF($O234="Bob",$N234,-$N234),0))</f>
        <v/>
      </c>
      <c r="R234" s="30">
        <f>IF($A234="","",IF(ROUND($S234,2)&gt;0,"Olivia pays Bob "&amp;TEXT($S234,"#,##0.00"),IF(ROUND($S234,2)&lt;0,"Bob pays Olivia "&amp;TEXT(-$S234,"#,##0.00"),"Nothing owed")))</f>
        <v/>
      </c>
      <c r="S234" s="31">
        <f>IF($A234="","",$L234-$M234+$Q234)</f>
        <v/>
      </c>
    </row>
    <row r="235" ht="17" customHeight="1">
      <c r="A235" s="26" t="n"/>
      <c r="B235" s="27" t="n"/>
      <c r="C235" s="27" t="n"/>
      <c r="D235" s="27" t="n"/>
      <c r="E235" s="27" t="n"/>
      <c r="F235" s="27" t="n"/>
      <c r="G235" s="27" t="n"/>
      <c r="H235" s="28">
        <f>IF($A235="","",SUM($B235:$G235))</f>
        <v/>
      </c>
      <c r="I235" s="29">
        <f>IF($A235="","",Rates!$C$6)</f>
        <v/>
      </c>
      <c r="J235" s="29">
        <f>IF($A235="","",Rates!$C$7)</f>
        <v/>
      </c>
      <c r="K235" s="29">
        <f>IF($A235="","",Rates!$C$8)</f>
        <v/>
      </c>
      <c r="L235" s="29">
        <f>IF($A235="","",($B235+$C235)*$I235)</f>
        <v/>
      </c>
      <c r="M235" s="29">
        <f>IF($A235="","",$G235*$J235+($E235+$F235+$G235)*$K235)</f>
        <v/>
      </c>
      <c r="N235" s="20" t="n"/>
      <c r="O235" s="10" t="n"/>
      <c r="P235" s="10" t="n"/>
      <c r="Q235" s="29">
        <f>IF($A235="","",IF($P235="YES",IF($O235="Bob",$N235,-$N235),0))</f>
        <v/>
      </c>
      <c r="R235" s="30">
        <f>IF($A235="","",IF(ROUND($S235,2)&gt;0,"Olivia pays Bob "&amp;TEXT($S235,"#,##0.00"),IF(ROUND($S235,2)&lt;0,"Bob pays Olivia "&amp;TEXT(-$S235,"#,##0.00"),"Nothing owed")))</f>
        <v/>
      </c>
      <c r="S235" s="31">
        <f>IF($A235="","",$L235-$M235+$Q235)</f>
        <v/>
      </c>
    </row>
    <row r="236" ht="17" customHeight="1">
      <c r="A236" s="26" t="n"/>
      <c r="B236" s="27" t="n"/>
      <c r="C236" s="27" t="n"/>
      <c r="D236" s="27" t="n"/>
      <c r="E236" s="27" t="n"/>
      <c r="F236" s="27" t="n"/>
      <c r="G236" s="27" t="n"/>
      <c r="H236" s="28">
        <f>IF($A236="","",SUM($B236:$G236))</f>
        <v/>
      </c>
      <c r="I236" s="29">
        <f>IF($A236="","",Rates!$C$6)</f>
        <v/>
      </c>
      <c r="J236" s="29">
        <f>IF($A236="","",Rates!$C$7)</f>
        <v/>
      </c>
      <c r="K236" s="29">
        <f>IF($A236="","",Rates!$C$8)</f>
        <v/>
      </c>
      <c r="L236" s="29">
        <f>IF($A236="","",($B236+$C236)*$I236)</f>
        <v/>
      </c>
      <c r="M236" s="29">
        <f>IF($A236="","",$G236*$J236+($E236+$F236+$G236)*$K236)</f>
        <v/>
      </c>
      <c r="N236" s="20" t="n"/>
      <c r="O236" s="10" t="n"/>
      <c r="P236" s="10" t="n"/>
      <c r="Q236" s="29">
        <f>IF($A236="","",IF($P236="YES",IF($O236="Bob",$N236,-$N236),0))</f>
        <v/>
      </c>
      <c r="R236" s="30">
        <f>IF($A236="","",IF(ROUND($S236,2)&gt;0,"Olivia pays Bob "&amp;TEXT($S236,"#,##0.00"),IF(ROUND($S236,2)&lt;0,"Bob pays Olivia "&amp;TEXT(-$S236,"#,##0.00"),"Nothing owed")))</f>
        <v/>
      </c>
      <c r="S236" s="31">
        <f>IF($A236="","",$L236-$M236+$Q236)</f>
        <v/>
      </c>
    </row>
    <row r="237" ht="17" customHeight="1">
      <c r="A237" s="26" t="n"/>
      <c r="B237" s="27" t="n"/>
      <c r="C237" s="27" t="n"/>
      <c r="D237" s="27" t="n"/>
      <c r="E237" s="27" t="n"/>
      <c r="F237" s="27" t="n"/>
      <c r="G237" s="27" t="n"/>
      <c r="H237" s="28">
        <f>IF($A237="","",SUM($B237:$G237))</f>
        <v/>
      </c>
      <c r="I237" s="29">
        <f>IF($A237="","",Rates!$C$6)</f>
        <v/>
      </c>
      <c r="J237" s="29">
        <f>IF($A237="","",Rates!$C$7)</f>
        <v/>
      </c>
      <c r="K237" s="29">
        <f>IF($A237="","",Rates!$C$8)</f>
        <v/>
      </c>
      <c r="L237" s="29">
        <f>IF($A237="","",($B237+$C237)*$I237)</f>
        <v/>
      </c>
      <c r="M237" s="29">
        <f>IF($A237="","",$G237*$J237+($E237+$F237+$G237)*$K237)</f>
        <v/>
      </c>
      <c r="N237" s="20" t="n"/>
      <c r="O237" s="10" t="n"/>
      <c r="P237" s="10" t="n"/>
      <c r="Q237" s="29">
        <f>IF($A237="","",IF($P237="YES",IF($O237="Bob",$N237,-$N237),0))</f>
        <v/>
      </c>
      <c r="R237" s="30">
        <f>IF($A237="","",IF(ROUND($S237,2)&gt;0,"Olivia pays Bob "&amp;TEXT($S237,"#,##0.00"),IF(ROUND($S237,2)&lt;0,"Bob pays Olivia "&amp;TEXT(-$S237,"#,##0.00"),"Nothing owed")))</f>
        <v/>
      </c>
      <c r="S237" s="31">
        <f>IF($A237="","",$L237-$M237+$Q237)</f>
        <v/>
      </c>
    </row>
    <row r="238" ht="17" customHeight="1">
      <c r="A238" s="26" t="n"/>
      <c r="B238" s="27" t="n"/>
      <c r="C238" s="27" t="n"/>
      <c r="D238" s="27" t="n"/>
      <c r="E238" s="27" t="n"/>
      <c r="F238" s="27" t="n"/>
      <c r="G238" s="27" t="n"/>
      <c r="H238" s="28">
        <f>IF($A238="","",SUM($B238:$G238))</f>
        <v/>
      </c>
      <c r="I238" s="29">
        <f>IF($A238="","",Rates!$C$6)</f>
        <v/>
      </c>
      <c r="J238" s="29">
        <f>IF($A238="","",Rates!$C$7)</f>
        <v/>
      </c>
      <c r="K238" s="29">
        <f>IF($A238="","",Rates!$C$8)</f>
        <v/>
      </c>
      <c r="L238" s="29">
        <f>IF($A238="","",($B238+$C238)*$I238)</f>
        <v/>
      </c>
      <c r="M238" s="29">
        <f>IF($A238="","",$G238*$J238+($E238+$F238+$G238)*$K238)</f>
        <v/>
      </c>
      <c r="N238" s="20" t="n"/>
      <c r="O238" s="10" t="n"/>
      <c r="P238" s="10" t="n"/>
      <c r="Q238" s="29">
        <f>IF($A238="","",IF($P238="YES",IF($O238="Bob",$N238,-$N238),0))</f>
        <v/>
      </c>
      <c r="R238" s="30">
        <f>IF($A238="","",IF(ROUND($S238,2)&gt;0,"Olivia pays Bob "&amp;TEXT($S238,"#,##0.00"),IF(ROUND($S238,2)&lt;0,"Bob pays Olivia "&amp;TEXT(-$S238,"#,##0.00"),"Nothing owed")))</f>
        <v/>
      </c>
      <c r="S238" s="31">
        <f>IF($A238="","",$L238-$M238+$Q238)</f>
        <v/>
      </c>
    </row>
    <row r="239" ht="17" customHeight="1">
      <c r="A239" s="26" t="n"/>
      <c r="B239" s="27" t="n"/>
      <c r="C239" s="27" t="n"/>
      <c r="D239" s="27" t="n"/>
      <c r="E239" s="27" t="n"/>
      <c r="F239" s="27" t="n"/>
      <c r="G239" s="27" t="n"/>
      <c r="H239" s="28">
        <f>IF($A239="","",SUM($B239:$G239))</f>
        <v/>
      </c>
      <c r="I239" s="29">
        <f>IF($A239="","",Rates!$C$6)</f>
        <v/>
      </c>
      <c r="J239" s="29">
        <f>IF($A239="","",Rates!$C$7)</f>
        <v/>
      </c>
      <c r="K239" s="29">
        <f>IF($A239="","",Rates!$C$8)</f>
        <v/>
      </c>
      <c r="L239" s="29">
        <f>IF($A239="","",($B239+$C239)*$I239)</f>
        <v/>
      </c>
      <c r="M239" s="29">
        <f>IF($A239="","",$G239*$J239+($E239+$F239+$G239)*$K239)</f>
        <v/>
      </c>
      <c r="N239" s="20" t="n"/>
      <c r="O239" s="10" t="n"/>
      <c r="P239" s="10" t="n"/>
      <c r="Q239" s="29">
        <f>IF($A239="","",IF($P239="YES",IF($O239="Bob",$N239,-$N239),0))</f>
        <v/>
      </c>
      <c r="R239" s="30">
        <f>IF($A239="","",IF(ROUND($S239,2)&gt;0,"Olivia pays Bob "&amp;TEXT($S239,"#,##0.00"),IF(ROUND($S239,2)&lt;0,"Bob pays Olivia "&amp;TEXT(-$S239,"#,##0.00"),"Nothing owed")))</f>
        <v/>
      </c>
      <c r="S239" s="31">
        <f>IF($A239="","",$L239-$M239+$Q239)</f>
        <v/>
      </c>
    </row>
    <row r="240" ht="17" customHeight="1">
      <c r="A240" s="26" t="n"/>
      <c r="B240" s="27" t="n"/>
      <c r="C240" s="27" t="n"/>
      <c r="D240" s="27" t="n"/>
      <c r="E240" s="27" t="n"/>
      <c r="F240" s="27" t="n"/>
      <c r="G240" s="27" t="n"/>
      <c r="H240" s="28">
        <f>IF($A240="","",SUM($B240:$G240))</f>
        <v/>
      </c>
      <c r="I240" s="29">
        <f>IF($A240="","",Rates!$C$6)</f>
        <v/>
      </c>
      <c r="J240" s="29">
        <f>IF($A240="","",Rates!$C$7)</f>
        <v/>
      </c>
      <c r="K240" s="29">
        <f>IF($A240="","",Rates!$C$8)</f>
        <v/>
      </c>
      <c r="L240" s="29">
        <f>IF($A240="","",($B240+$C240)*$I240)</f>
        <v/>
      </c>
      <c r="M240" s="29">
        <f>IF($A240="","",$G240*$J240+($E240+$F240+$G240)*$K240)</f>
        <v/>
      </c>
      <c r="N240" s="20" t="n"/>
      <c r="O240" s="10" t="n"/>
      <c r="P240" s="10" t="n"/>
      <c r="Q240" s="29">
        <f>IF($A240="","",IF($P240="YES",IF($O240="Bob",$N240,-$N240),0))</f>
        <v/>
      </c>
      <c r="R240" s="30">
        <f>IF($A240="","",IF(ROUND($S240,2)&gt;0,"Olivia pays Bob "&amp;TEXT($S240,"#,##0.00"),IF(ROUND($S240,2)&lt;0,"Bob pays Olivia "&amp;TEXT(-$S240,"#,##0.00"),"Nothing owed")))</f>
        <v/>
      </c>
      <c r="S240" s="31">
        <f>IF($A240="","",$L240-$M240+$Q240)</f>
        <v/>
      </c>
    </row>
    <row r="241" ht="17" customHeight="1">
      <c r="A241" s="26" t="n"/>
      <c r="B241" s="27" t="n"/>
      <c r="C241" s="27" t="n"/>
      <c r="D241" s="27" t="n"/>
      <c r="E241" s="27" t="n"/>
      <c r="F241" s="27" t="n"/>
      <c r="G241" s="27" t="n"/>
      <c r="H241" s="28">
        <f>IF($A241="","",SUM($B241:$G241))</f>
        <v/>
      </c>
      <c r="I241" s="29">
        <f>IF($A241="","",Rates!$C$6)</f>
        <v/>
      </c>
      <c r="J241" s="29">
        <f>IF($A241="","",Rates!$C$7)</f>
        <v/>
      </c>
      <c r="K241" s="29">
        <f>IF($A241="","",Rates!$C$8)</f>
        <v/>
      </c>
      <c r="L241" s="29">
        <f>IF($A241="","",($B241+$C241)*$I241)</f>
        <v/>
      </c>
      <c r="M241" s="29">
        <f>IF($A241="","",$G241*$J241+($E241+$F241+$G241)*$K241)</f>
        <v/>
      </c>
      <c r="N241" s="20" t="n"/>
      <c r="O241" s="10" t="n"/>
      <c r="P241" s="10" t="n"/>
      <c r="Q241" s="29">
        <f>IF($A241="","",IF($P241="YES",IF($O241="Bob",$N241,-$N241),0))</f>
        <v/>
      </c>
      <c r="R241" s="30">
        <f>IF($A241="","",IF(ROUND($S241,2)&gt;0,"Olivia pays Bob "&amp;TEXT($S241,"#,##0.00"),IF(ROUND($S241,2)&lt;0,"Bob pays Olivia "&amp;TEXT(-$S241,"#,##0.00"),"Nothing owed")))</f>
        <v/>
      </c>
      <c r="S241" s="31">
        <f>IF($A241="","",$L241-$M241+$Q241)</f>
        <v/>
      </c>
    </row>
    <row r="242" ht="17" customHeight="1">
      <c r="A242" s="26" t="n"/>
      <c r="B242" s="27" t="n"/>
      <c r="C242" s="27" t="n"/>
      <c r="D242" s="27" t="n"/>
      <c r="E242" s="27" t="n"/>
      <c r="F242" s="27" t="n"/>
      <c r="G242" s="27" t="n"/>
      <c r="H242" s="28">
        <f>IF($A242="","",SUM($B242:$G242))</f>
        <v/>
      </c>
      <c r="I242" s="29">
        <f>IF($A242="","",Rates!$C$6)</f>
        <v/>
      </c>
      <c r="J242" s="29">
        <f>IF($A242="","",Rates!$C$7)</f>
        <v/>
      </c>
      <c r="K242" s="29">
        <f>IF($A242="","",Rates!$C$8)</f>
        <v/>
      </c>
      <c r="L242" s="29">
        <f>IF($A242="","",($B242+$C242)*$I242)</f>
        <v/>
      </c>
      <c r="M242" s="29">
        <f>IF($A242="","",$G242*$J242+($E242+$F242+$G242)*$K242)</f>
        <v/>
      </c>
      <c r="N242" s="20" t="n"/>
      <c r="O242" s="10" t="n"/>
      <c r="P242" s="10" t="n"/>
      <c r="Q242" s="29">
        <f>IF($A242="","",IF($P242="YES",IF($O242="Bob",$N242,-$N242),0))</f>
        <v/>
      </c>
      <c r="R242" s="30">
        <f>IF($A242="","",IF(ROUND($S242,2)&gt;0,"Olivia pays Bob "&amp;TEXT($S242,"#,##0.00"),IF(ROUND($S242,2)&lt;0,"Bob pays Olivia "&amp;TEXT(-$S242,"#,##0.00"),"Nothing owed")))</f>
        <v/>
      </c>
      <c r="S242" s="31">
        <f>IF($A242="","",$L242-$M242+$Q242)</f>
        <v/>
      </c>
    </row>
    <row r="243" ht="17" customHeight="1">
      <c r="A243" s="26" t="n"/>
      <c r="B243" s="27" t="n"/>
      <c r="C243" s="27" t="n"/>
      <c r="D243" s="27" t="n"/>
      <c r="E243" s="27" t="n"/>
      <c r="F243" s="27" t="n"/>
      <c r="G243" s="27" t="n"/>
      <c r="H243" s="28">
        <f>IF($A243="","",SUM($B243:$G243))</f>
        <v/>
      </c>
      <c r="I243" s="29">
        <f>IF($A243="","",Rates!$C$6)</f>
        <v/>
      </c>
      <c r="J243" s="29">
        <f>IF($A243="","",Rates!$C$7)</f>
        <v/>
      </c>
      <c r="K243" s="29">
        <f>IF($A243="","",Rates!$C$8)</f>
        <v/>
      </c>
      <c r="L243" s="29">
        <f>IF($A243="","",($B243+$C243)*$I243)</f>
        <v/>
      </c>
      <c r="M243" s="29">
        <f>IF($A243="","",$G243*$J243+($E243+$F243+$G243)*$K243)</f>
        <v/>
      </c>
      <c r="N243" s="20" t="n"/>
      <c r="O243" s="10" t="n"/>
      <c r="P243" s="10" t="n"/>
      <c r="Q243" s="29">
        <f>IF($A243="","",IF($P243="YES",IF($O243="Bob",$N243,-$N243),0))</f>
        <v/>
      </c>
      <c r="R243" s="30">
        <f>IF($A243="","",IF(ROUND($S243,2)&gt;0,"Olivia pays Bob "&amp;TEXT($S243,"#,##0.00"),IF(ROUND($S243,2)&lt;0,"Bob pays Olivia "&amp;TEXT(-$S243,"#,##0.00"),"Nothing owed")))</f>
        <v/>
      </c>
      <c r="S243" s="31">
        <f>IF($A243="","",$L243-$M243+$Q243)</f>
        <v/>
      </c>
    </row>
    <row r="244" ht="17" customHeight="1">
      <c r="A244" s="26" t="n"/>
      <c r="B244" s="27" t="n"/>
      <c r="C244" s="27" t="n"/>
      <c r="D244" s="27" t="n"/>
      <c r="E244" s="27" t="n"/>
      <c r="F244" s="27" t="n"/>
      <c r="G244" s="27" t="n"/>
      <c r="H244" s="28">
        <f>IF($A244="","",SUM($B244:$G244))</f>
        <v/>
      </c>
      <c r="I244" s="29">
        <f>IF($A244="","",Rates!$C$6)</f>
        <v/>
      </c>
      <c r="J244" s="29">
        <f>IF($A244="","",Rates!$C$7)</f>
        <v/>
      </c>
      <c r="K244" s="29">
        <f>IF($A244="","",Rates!$C$8)</f>
        <v/>
      </c>
      <c r="L244" s="29">
        <f>IF($A244="","",($B244+$C244)*$I244)</f>
        <v/>
      </c>
      <c r="M244" s="29">
        <f>IF($A244="","",$G244*$J244+($E244+$F244+$G244)*$K244)</f>
        <v/>
      </c>
      <c r="N244" s="20" t="n"/>
      <c r="O244" s="10" t="n"/>
      <c r="P244" s="10" t="n"/>
      <c r="Q244" s="29">
        <f>IF($A244="","",IF($P244="YES",IF($O244="Bob",$N244,-$N244),0))</f>
        <v/>
      </c>
      <c r="R244" s="30">
        <f>IF($A244="","",IF(ROUND($S244,2)&gt;0,"Olivia pays Bob "&amp;TEXT($S244,"#,##0.00"),IF(ROUND($S244,2)&lt;0,"Bob pays Olivia "&amp;TEXT(-$S244,"#,##0.00"),"Nothing owed")))</f>
        <v/>
      </c>
      <c r="S244" s="31">
        <f>IF($A244="","",$L244-$M244+$Q244)</f>
        <v/>
      </c>
    </row>
    <row r="245" ht="17" customHeight="1">
      <c r="A245" s="26" t="n"/>
      <c r="B245" s="27" t="n"/>
      <c r="C245" s="27" t="n"/>
      <c r="D245" s="27" t="n"/>
      <c r="E245" s="27" t="n"/>
      <c r="F245" s="27" t="n"/>
      <c r="G245" s="27" t="n"/>
      <c r="H245" s="28">
        <f>IF($A245="","",SUM($B245:$G245))</f>
        <v/>
      </c>
      <c r="I245" s="29">
        <f>IF($A245="","",Rates!$C$6)</f>
        <v/>
      </c>
      <c r="J245" s="29">
        <f>IF($A245="","",Rates!$C$7)</f>
        <v/>
      </c>
      <c r="K245" s="29">
        <f>IF($A245="","",Rates!$C$8)</f>
        <v/>
      </c>
      <c r="L245" s="29">
        <f>IF($A245="","",($B245+$C245)*$I245)</f>
        <v/>
      </c>
      <c r="M245" s="29">
        <f>IF($A245="","",$G245*$J245+($E245+$F245+$G245)*$K245)</f>
        <v/>
      </c>
      <c r="N245" s="20" t="n"/>
      <c r="O245" s="10" t="n"/>
      <c r="P245" s="10" t="n"/>
      <c r="Q245" s="29">
        <f>IF($A245="","",IF($P245="YES",IF($O245="Bob",$N245,-$N245),0))</f>
        <v/>
      </c>
      <c r="R245" s="30">
        <f>IF($A245="","",IF(ROUND($S245,2)&gt;0,"Olivia pays Bob "&amp;TEXT($S245,"#,##0.00"),IF(ROUND($S245,2)&lt;0,"Bob pays Olivia "&amp;TEXT(-$S245,"#,##0.00"),"Nothing owed")))</f>
        <v/>
      </c>
      <c r="S245" s="31">
        <f>IF($A245="","",$L245-$M245+$Q245)</f>
        <v/>
      </c>
    </row>
    <row r="246" ht="17" customHeight="1">
      <c r="A246" s="26" t="n"/>
      <c r="B246" s="27" t="n"/>
      <c r="C246" s="27" t="n"/>
      <c r="D246" s="27" t="n"/>
      <c r="E246" s="27" t="n"/>
      <c r="F246" s="27" t="n"/>
      <c r="G246" s="27" t="n"/>
      <c r="H246" s="28">
        <f>IF($A246="","",SUM($B246:$G246))</f>
        <v/>
      </c>
      <c r="I246" s="29">
        <f>IF($A246="","",Rates!$C$6)</f>
        <v/>
      </c>
      <c r="J246" s="29">
        <f>IF($A246="","",Rates!$C$7)</f>
        <v/>
      </c>
      <c r="K246" s="29">
        <f>IF($A246="","",Rates!$C$8)</f>
        <v/>
      </c>
      <c r="L246" s="29">
        <f>IF($A246="","",($B246+$C246)*$I246)</f>
        <v/>
      </c>
      <c r="M246" s="29">
        <f>IF($A246="","",$G246*$J246+($E246+$F246+$G246)*$K246)</f>
        <v/>
      </c>
      <c r="N246" s="20" t="n"/>
      <c r="O246" s="10" t="n"/>
      <c r="P246" s="10" t="n"/>
      <c r="Q246" s="29">
        <f>IF($A246="","",IF($P246="YES",IF($O246="Bob",$N246,-$N246),0))</f>
        <v/>
      </c>
      <c r="R246" s="30">
        <f>IF($A246="","",IF(ROUND($S246,2)&gt;0,"Olivia pays Bob "&amp;TEXT($S246,"#,##0.00"),IF(ROUND($S246,2)&lt;0,"Bob pays Olivia "&amp;TEXT(-$S246,"#,##0.00"),"Nothing owed")))</f>
        <v/>
      </c>
      <c r="S246" s="31">
        <f>IF($A246="","",$L246-$M246+$Q246)</f>
        <v/>
      </c>
    </row>
    <row r="247" ht="17" customHeight="1">
      <c r="A247" s="26" t="n"/>
      <c r="B247" s="27" t="n"/>
      <c r="C247" s="27" t="n"/>
      <c r="D247" s="27" t="n"/>
      <c r="E247" s="27" t="n"/>
      <c r="F247" s="27" t="n"/>
      <c r="G247" s="27" t="n"/>
      <c r="H247" s="28">
        <f>IF($A247="","",SUM($B247:$G247))</f>
        <v/>
      </c>
      <c r="I247" s="29">
        <f>IF($A247="","",Rates!$C$6)</f>
        <v/>
      </c>
      <c r="J247" s="29">
        <f>IF($A247="","",Rates!$C$7)</f>
        <v/>
      </c>
      <c r="K247" s="29">
        <f>IF($A247="","",Rates!$C$8)</f>
        <v/>
      </c>
      <c r="L247" s="29">
        <f>IF($A247="","",($B247+$C247)*$I247)</f>
        <v/>
      </c>
      <c r="M247" s="29">
        <f>IF($A247="","",$G247*$J247+($E247+$F247+$G247)*$K247)</f>
        <v/>
      </c>
      <c r="N247" s="20" t="n"/>
      <c r="O247" s="10" t="n"/>
      <c r="P247" s="10" t="n"/>
      <c r="Q247" s="29">
        <f>IF($A247="","",IF($P247="YES",IF($O247="Bob",$N247,-$N247),0))</f>
        <v/>
      </c>
      <c r="R247" s="30">
        <f>IF($A247="","",IF(ROUND($S247,2)&gt;0,"Olivia pays Bob "&amp;TEXT($S247,"#,##0.00"),IF(ROUND($S247,2)&lt;0,"Bob pays Olivia "&amp;TEXT(-$S247,"#,##0.00"),"Nothing owed")))</f>
        <v/>
      </c>
      <c r="S247" s="31">
        <f>IF($A247="","",$L247-$M247+$Q247)</f>
        <v/>
      </c>
    </row>
    <row r="248" ht="17" customHeight="1">
      <c r="A248" s="26" t="n"/>
      <c r="B248" s="27" t="n"/>
      <c r="C248" s="27" t="n"/>
      <c r="D248" s="27" t="n"/>
      <c r="E248" s="27" t="n"/>
      <c r="F248" s="27" t="n"/>
      <c r="G248" s="27" t="n"/>
      <c r="H248" s="28">
        <f>IF($A248="","",SUM($B248:$G248))</f>
        <v/>
      </c>
      <c r="I248" s="29">
        <f>IF($A248="","",Rates!$C$6)</f>
        <v/>
      </c>
      <c r="J248" s="29">
        <f>IF($A248="","",Rates!$C$7)</f>
        <v/>
      </c>
      <c r="K248" s="29">
        <f>IF($A248="","",Rates!$C$8)</f>
        <v/>
      </c>
      <c r="L248" s="29">
        <f>IF($A248="","",($B248+$C248)*$I248)</f>
        <v/>
      </c>
      <c r="M248" s="29">
        <f>IF($A248="","",$G248*$J248+($E248+$F248+$G248)*$K248)</f>
        <v/>
      </c>
      <c r="N248" s="20" t="n"/>
      <c r="O248" s="10" t="n"/>
      <c r="P248" s="10" t="n"/>
      <c r="Q248" s="29">
        <f>IF($A248="","",IF($P248="YES",IF($O248="Bob",$N248,-$N248),0))</f>
        <v/>
      </c>
      <c r="R248" s="30">
        <f>IF($A248="","",IF(ROUND($S248,2)&gt;0,"Olivia pays Bob "&amp;TEXT($S248,"#,##0.00"),IF(ROUND($S248,2)&lt;0,"Bob pays Olivia "&amp;TEXT(-$S248,"#,##0.00"),"Nothing owed")))</f>
        <v/>
      </c>
      <c r="S248" s="31">
        <f>IF($A248="","",$L248-$M248+$Q248)</f>
        <v/>
      </c>
    </row>
    <row r="249" ht="17" customHeight="1">
      <c r="A249" s="26" t="n"/>
      <c r="B249" s="27" t="n"/>
      <c r="C249" s="27" t="n"/>
      <c r="D249" s="27" t="n"/>
      <c r="E249" s="27" t="n"/>
      <c r="F249" s="27" t="n"/>
      <c r="G249" s="27" t="n"/>
      <c r="H249" s="28">
        <f>IF($A249="","",SUM($B249:$G249))</f>
        <v/>
      </c>
      <c r="I249" s="29">
        <f>IF($A249="","",Rates!$C$6)</f>
        <v/>
      </c>
      <c r="J249" s="29">
        <f>IF($A249="","",Rates!$C$7)</f>
        <v/>
      </c>
      <c r="K249" s="29">
        <f>IF($A249="","",Rates!$C$8)</f>
        <v/>
      </c>
      <c r="L249" s="29">
        <f>IF($A249="","",($B249+$C249)*$I249)</f>
        <v/>
      </c>
      <c r="M249" s="29">
        <f>IF($A249="","",$G249*$J249+($E249+$F249+$G249)*$K249)</f>
        <v/>
      </c>
      <c r="N249" s="20" t="n"/>
      <c r="O249" s="10" t="n"/>
      <c r="P249" s="10" t="n"/>
      <c r="Q249" s="29">
        <f>IF($A249="","",IF($P249="YES",IF($O249="Bob",$N249,-$N249),0))</f>
        <v/>
      </c>
      <c r="R249" s="30">
        <f>IF($A249="","",IF(ROUND($S249,2)&gt;0,"Olivia pays Bob "&amp;TEXT($S249,"#,##0.00"),IF(ROUND($S249,2)&lt;0,"Bob pays Olivia "&amp;TEXT(-$S249,"#,##0.00"),"Nothing owed")))</f>
        <v/>
      </c>
      <c r="S249" s="31">
        <f>IF($A249="","",$L249-$M249+$Q249)</f>
        <v/>
      </c>
    </row>
    <row r="250" ht="17" customHeight="1">
      <c r="A250" s="26" t="n"/>
      <c r="B250" s="27" t="n"/>
      <c r="C250" s="27" t="n"/>
      <c r="D250" s="27" t="n"/>
      <c r="E250" s="27" t="n"/>
      <c r="F250" s="27" t="n"/>
      <c r="G250" s="27" t="n"/>
      <c r="H250" s="28">
        <f>IF($A250="","",SUM($B250:$G250))</f>
        <v/>
      </c>
      <c r="I250" s="29">
        <f>IF($A250="","",Rates!$C$6)</f>
        <v/>
      </c>
      <c r="J250" s="29">
        <f>IF($A250="","",Rates!$C$7)</f>
        <v/>
      </c>
      <c r="K250" s="29">
        <f>IF($A250="","",Rates!$C$8)</f>
        <v/>
      </c>
      <c r="L250" s="29">
        <f>IF($A250="","",($B250+$C250)*$I250)</f>
        <v/>
      </c>
      <c r="M250" s="29">
        <f>IF($A250="","",$G250*$J250+($E250+$F250+$G250)*$K250)</f>
        <v/>
      </c>
      <c r="N250" s="20" t="n"/>
      <c r="O250" s="10" t="n"/>
      <c r="P250" s="10" t="n"/>
      <c r="Q250" s="29">
        <f>IF($A250="","",IF($P250="YES",IF($O250="Bob",$N250,-$N250),0))</f>
        <v/>
      </c>
      <c r="R250" s="30">
        <f>IF($A250="","",IF(ROUND($S250,2)&gt;0,"Olivia pays Bob "&amp;TEXT($S250,"#,##0.00"),IF(ROUND($S250,2)&lt;0,"Bob pays Olivia "&amp;TEXT(-$S250,"#,##0.00"),"Nothing owed")))</f>
        <v/>
      </c>
      <c r="S250" s="31">
        <f>IF($A250="","",$L250-$M250+$Q250)</f>
        <v/>
      </c>
    </row>
    <row r="251" ht="17" customHeight="1">
      <c r="A251" s="26" t="n"/>
      <c r="B251" s="27" t="n"/>
      <c r="C251" s="27" t="n"/>
      <c r="D251" s="27" t="n"/>
      <c r="E251" s="27" t="n"/>
      <c r="F251" s="27" t="n"/>
      <c r="G251" s="27" t="n"/>
      <c r="H251" s="28">
        <f>IF($A251="","",SUM($B251:$G251))</f>
        <v/>
      </c>
      <c r="I251" s="29">
        <f>IF($A251="","",Rates!$C$6)</f>
        <v/>
      </c>
      <c r="J251" s="29">
        <f>IF($A251="","",Rates!$C$7)</f>
        <v/>
      </c>
      <c r="K251" s="29">
        <f>IF($A251="","",Rates!$C$8)</f>
        <v/>
      </c>
      <c r="L251" s="29">
        <f>IF($A251="","",($B251+$C251)*$I251)</f>
        <v/>
      </c>
      <c r="M251" s="29">
        <f>IF($A251="","",$G251*$J251+($E251+$F251+$G251)*$K251)</f>
        <v/>
      </c>
      <c r="N251" s="20" t="n"/>
      <c r="O251" s="10" t="n"/>
      <c r="P251" s="10" t="n"/>
      <c r="Q251" s="29">
        <f>IF($A251="","",IF($P251="YES",IF($O251="Bob",$N251,-$N251),0))</f>
        <v/>
      </c>
      <c r="R251" s="30">
        <f>IF($A251="","",IF(ROUND($S251,2)&gt;0,"Olivia pays Bob "&amp;TEXT($S251,"#,##0.00"),IF(ROUND($S251,2)&lt;0,"Bob pays Olivia "&amp;TEXT(-$S251,"#,##0.00"),"Nothing owed")))</f>
        <v/>
      </c>
      <c r="S251" s="31">
        <f>IF($A251="","",$L251-$M251+$Q251)</f>
        <v/>
      </c>
    </row>
    <row r="252" ht="17" customHeight="1">
      <c r="A252" s="26" t="n"/>
      <c r="B252" s="27" t="n"/>
      <c r="C252" s="27" t="n"/>
      <c r="D252" s="27" t="n"/>
      <c r="E252" s="27" t="n"/>
      <c r="F252" s="27" t="n"/>
      <c r="G252" s="27" t="n"/>
      <c r="H252" s="28">
        <f>IF($A252="","",SUM($B252:$G252))</f>
        <v/>
      </c>
      <c r="I252" s="29">
        <f>IF($A252="","",Rates!$C$6)</f>
        <v/>
      </c>
      <c r="J252" s="29">
        <f>IF($A252="","",Rates!$C$7)</f>
        <v/>
      </c>
      <c r="K252" s="29">
        <f>IF($A252="","",Rates!$C$8)</f>
        <v/>
      </c>
      <c r="L252" s="29">
        <f>IF($A252="","",($B252+$C252)*$I252)</f>
        <v/>
      </c>
      <c r="M252" s="29">
        <f>IF($A252="","",$G252*$J252+($E252+$F252+$G252)*$K252)</f>
        <v/>
      </c>
      <c r="N252" s="20" t="n"/>
      <c r="O252" s="10" t="n"/>
      <c r="P252" s="10" t="n"/>
      <c r="Q252" s="29">
        <f>IF($A252="","",IF($P252="YES",IF($O252="Bob",$N252,-$N252),0))</f>
        <v/>
      </c>
      <c r="R252" s="30">
        <f>IF($A252="","",IF(ROUND($S252,2)&gt;0,"Olivia pays Bob "&amp;TEXT($S252,"#,##0.00"),IF(ROUND($S252,2)&lt;0,"Bob pays Olivia "&amp;TEXT(-$S252,"#,##0.00"),"Nothing owed")))</f>
        <v/>
      </c>
      <c r="S252" s="31">
        <f>IF($A252="","",$L252-$M252+$Q252)</f>
        <v/>
      </c>
    </row>
    <row r="253" ht="17" customHeight="1">
      <c r="A253" s="26" t="n"/>
      <c r="B253" s="27" t="n"/>
      <c r="C253" s="27" t="n"/>
      <c r="D253" s="27" t="n"/>
      <c r="E253" s="27" t="n"/>
      <c r="F253" s="27" t="n"/>
      <c r="G253" s="27" t="n"/>
      <c r="H253" s="28">
        <f>IF($A253="","",SUM($B253:$G253))</f>
        <v/>
      </c>
      <c r="I253" s="29">
        <f>IF($A253="","",Rates!$C$6)</f>
        <v/>
      </c>
      <c r="J253" s="29">
        <f>IF($A253="","",Rates!$C$7)</f>
        <v/>
      </c>
      <c r="K253" s="29">
        <f>IF($A253="","",Rates!$C$8)</f>
        <v/>
      </c>
      <c r="L253" s="29">
        <f>IF($A253="","",($B253+$C253)*$I253)</f>
        <v/>
      </c>
      <c r="M253" s="29">
        <f>IF($A253="","",$G253*$J253+($E253+$F253+$G253)*$K253)</f>
        <v/>
      </c>
      <c r="N253" s="20" t="n"/>
      <c r="O253" s="10" t="n"/>
      <c r="P253" s="10" t="n"/>
      <c r="Q253" s="29">
        <f>IF($A253="","",IF($P253="YES",IF($O253="Bob",$N253,-$N253),0))</f>
        <v/>
      </c>
      <c r="R253" s="30">
        <f>IF($A253="","",IF(ROUND($S253,2)&gt;0,"Olivia pays Bob "&amp;TEXT($S253,"#,##0.00"),IF(ROUND($S253,2)&lt;0,"Bob pays Olivia "&amp;TEXT(-$S253,"#,##0.00"),"Nothing owed")))</f>
        <v/>
      </c>
      <c r="S253" s="31">
        <f>IF($A253="","",$L253-$M253+$Q253)</f>
        <v/>
      </c>
    </row>
    <row r="254" ht="17" customHeight="1">
      <c r="A254" s="26" t="n"/>
      <c r="B254" s="27" t="n"/>
      <c r="C254" s="27" t="n"/>
      <c r="D254" s="27" t="n"/>
      <c r="E254" s="27" t="n"/>
      <c r="F254" s="27" t="n"/>
      <c r="G254" s="27" t="n"/>
      <c r="H254" s="28">
        <f>IF($A254="","",SUM($B254:$G254))</f>
        <v/>
      </c>
      <c r="I254" s="29">
        <f>IF($A254="","",Rates!$C$6)</f>
        <v/>
      </c>
      <c r="J254" s="29">
        <f>IF($A254="","",Rates!$C$7)</f>
        <v/>
      </c>
      <c r="K254" s="29">
        <f>IF($A254="","",Rates!$C$8)</f>
        <v/>
      </c>
      <c r="L254" s="29">
        <f>IF($A254="","",($B254+$C254)*$I254)</f>
        <v/>
      </c>
      <c r="M254" s="29">
        <f>IF($A254="","",$G254*$J254+($E254+$F254+$G254)*$K254)</f>
        <v/>
      </c>
      <c r="N254" s="20" t="n"/>
      <c r="O254" s="10" t="n"/>
      <c r="P254" s="10" t="n"/>
      <c r="Q254" s="29">
        <f>IF($A254="","",IF($P254="YES",IF($O254="Bob",$N254,-$N254),0))</f>
        <v/>
      </c>
      <c r="R254" s="30">
        <f>IF($A254="","",IF(ROUND($S254,2)&gt;0,"Olivia pays Bob "&amp;TEXT($S254,"#,##0.00"),IF(ROUND($S254,2)&lt;0,"Bob pays Olivia "&amp;TEXT(-$S254,"#,##0.00"),"Nothing owed")))</f>
        <v/>
      </c>
      <c r="S254" s="31">
        <f>IF($A254="","",$L254-$M254+$Q254)</f>
        <v/>
      </c>
    </row>
    <row r="255" ht="17" customHeight="1">
      <c r="A255" s="26" t="n"/>
      <c r="B255" s="27" t="n"/>
      <c r="C255" s="27" t="n"/>
      <c r="D255" s="27" t="n"/>
      <c r="E255" s="27" t="n"/>
      <c r="F255" s="27" t="n"/>
      <c r="G255" s="27" t="n"/>
      <c r="H255" s="28">
        <f>IF($A255="","",SUM($B255:$G255))</f>
        <v/>
      </c>
      <c r="I255" s="29">
        <f>IF($A255="","",Rates!$C$6)</f>
        <v/>
      </c>
      <c r="J255" s="29">
        <f>IF($A255="","",Rates!$C$7)</f>
        <v/>
      </c>
      <c r="K255" s="29">
        <f>IF($A255="","",Rates!$C$8)</f>
        <v/>
      </c>
      <c r="L255" s="29">
        <f>IF($A255="","",($B255+$C255)*$I255)</f>
        <v/>
      </c>
      <c r="M255" s="29">
        <f>IF($A255="","",$G255*$J255+($E255+$F255+$G255)*$K255)</f>
        <v/>
      </c>
      <c r="N255" s="20" t="n"/>
      <c r="O255" s="10" t="n"/>
      <c r="P255" s="10" t="n"/>
      <c r="Q255" s="29">
        <f>IF($A255="","",IF($P255="YES",IF($O255="Bob",$N255,-$N255),0))</f>
        <v/>
      </c>
      <c r="R255" s="30">
        <f>IF($A255="","",IF(ROUND($S255,2)&gt;0,"Olivia pays Bob "&amp;TEXT($S255,"#,##0.00"),IF(ROUND($S255,2)&lt;0,"Bob pays Olivia "&amp;TEXT(-$S255,"#,##0.00"),"Nothing owed")))</f>
        <v/>
      </c>
      <c r="S255" s="31">
        <f>IF($A255="","",$L255-$M255+$Q255)</f>
        <v/>
      </c>
    </row>
    <row r="256" ht="17" customHeight="1">
      <c r="A256" s="26" t="n"/>
      <c r="B256" s="27" t="n"/>
      <c r="C256" s="27" t="n"/>
      <c r="D256" s="27" t="n"/>
      <c r="E256" s="27" t="n"/>
      <c r="F256" s="27" t="n"/>
      <c r="G256" s="27" t="n"/>
      <c r="H256" s="28">
        <f>IF($A256="","",SUM($B256:$G256))</f>
        <v/>
      </c>
      <c r="I256" s="29">
        <f>IF($A256="","",Rates!$C$6)</f>
        <v/>
      </c>
      <c r="J256" s="29">
        <f>IF($A256="","",Rates!$C$7)</f>
        <v/>
      </c>
      <c r="K256" s="29">
        <f>IF($A256="","",Rates!$C$8)</f>
        <v/>
      </c>
      <c r="L256" s="29">
        <f>IF($A256="","",($B256+$C256)*$I256)</f>
        <v/>
      </c>
      <c r="M256" s="29">
        <f>IF($A256="","",$G256*$J256+($E256+$F256+$G256)*$K256)</f>
        <v/>
      </c>
      <c r="N256" s="20" t="n"/>
      <c r="O256" s="10" t="n"/>
      <c r="P256" s="10" t="n"/>
      <c r="Q256" s="29">
        <f>IF($A256="","",IF($P256="YES",IF($O256="Bob",$N256,-$N256),0))</f>
        <v/>
      </c>
      <c r="R256" s="30">
        <f>IF($A256="","",IF(ROUND($S256,2)&gt;0,"Olivia pays Bob "&amp;TEXT($S256,"#,##0.00"),IF(ROUND($S256,2)&lt;0,"Bob pays Olivia "&amp;TEXT(-$S256,"#,##0.00"),"Nothing owed")))</f>
        <v/>
      </c>
      <c r="S256" s="31">
        <f>IF($A256="","",$L256-$M256+$Q256)</f>
        <v/>
      </c>
    </row>
    <row r="257" ht="17" customHeight="1">
      <c r="A257" s="26" t="n"/>
      <c r="B257" s="27" t="n"/>
      <c r="C257" s="27" t="n"/>
      <c r="D257" s="27" t="n"/>
      <c r="E257" s="27" t="n"/>
      <c r="F257" s="27" t="n"/>
      <c r="G257" s="27" t="n"/>
      <c r="H257" s="28">
        <f>IF($A257="","",SUM($B257:$G257))</f>
        <v/>
      </c>
      <c r="I257" s="29">
        <f>IF($A257="","",Rates!$C$6)</f>
        <v/>
      </c>
      <c r="J257" s="29">
        <f>IF($A257="","",Rates!$C$7)</f>
        <v/>
      </c>
      <c r="K257" s="29">
        <f>IF($A257="","",Rates!$C$8)</f>
        <v/>
      </c>
      <c r="L257" s="29">
        <f>IF($A257="","",($B257+$C257)*$I257)</f>
        <v/>
      </c>
      <c r="M257" s="29">
        <f>IF($A257="","",$G257*$J257+($E257+$F257+$G257)*$K257)</f>
        <v/>
      </c>
      <c r="N257" s="20" t="n"/>
      <c r="O257" s="10" t="n"/>
      <c r="P257" s="10" t="n"/>
      <c r="Q257" s="29">
        <f>IF($A257="","",IF($P257="YES",IF($O257="Bob",$N257,-$N257),0))</f>
        <v/>
      </c>
      <c r="R257" s="30">
        <f>IF($A257="","",IF(ROUND($S257,2)&gt;0,"Olivia pays Bob "&amp;TEXT($S257,"#,##0.00"),IF(ROUND($S257,2)&lt;0,"Bob pays Olivia "&amp;TEXT(-$S257,"#,##0.00"),"Nothing owed")))</f>
        <v/>
      </c>
      <c r="S257" s="31">
        <f>IF($A257="","",$L257-$M257+$Q257)</f>
        <v/>
      </c>
    </row>
    <row r="258" ht="17" customHeight="1">
      <c r="A258" s="26" t="n"/>
      <c r="B258" s="27" t="n"/>
      <c r="C258" s="27" t="n"/>
      <c r="D258" s="27" t="n"/>
      <c r="E258" s="27" t="n"/>
      <c r="F258" s="27" t="n"/>
      <c r="G258" s="27" t="n"/>
      <c r="H258" s="28">
        <f>IF($A258="","",SUM($B258:$G258))</f>
        <v/>
      </c>
      <c r="I258" s="29">
        <f>IF($A258="","",Rates!$C$6)</f>
        <v/>
      </c>
      <c r="J258" s="29">
        <f>IF($A258="","",Rates!$C$7)</f>
        <v/>
      </c>
      <c r="K258" s="29">
        <f>IF($A258="","",Rates!$C$8)</f>
        <v/>
      </c>
      <c r="L258" s="29">
        <f>IF($A258="","",($B258+$C258)*$I258)</f>
        <v/>
      </c>
      <c r="M258" s="29">
        <f>IF($A258="","",$G258*$J258+($E258+$F258+$G258)*$K258)</f>
        <v/>
      </c>
      <c r="N258" s="20" t="n"/>
      <c r="O258" s="10" t="n"/>
      <c r="P258" s="10" t="n"/>
      <c r="Q258" s="29">
        <f>IF($A258="","",IF($P258="YES",IF($O258="Bob",$N258,-$N258),0))</f>
        <v/>
      </c>
      <c r="R258" s="30">
        <f>IF($A258="","",IF(ROUND($S258,2)&gt;0,"Olivia pays Bob "&amp;TEXT($S258,"#,##0.00"),IF(ROUND($S258,2)&lt;0,"Bob pays Olivia "&amp;TEXT(-$S258,"#,##0.00"),"Nothing owed")))</f>
        <v/>
      </c>
      <c r="S258" s="31">
        <f>IF($A258="","",$L258-$M258+$Q258)</f>
        <v/>
      </c>
    </row>
    <row r="259" ht="17" customHeight="1">
      <c r="A259" s="26" t="n"/>
      <c r="B259" s="27" t="n"/>
      <c r="C259" s="27" t="n"/>
      <c r="D259" s="27" t="n"/>
      <c r="E259" s="27" t="n"/>
      <c r="F259" s="27" t="n"/>
      <c r="G259" s="27" t="n"/>
      <c r="H259" s="28">
        <f>IF($A259="","",SUM($B259:$G259))</f>
        <v/>
      </c>
      <c r="I259" s="29">
        <f>IF($A259="","",Rates!$C$6)</f>
        <v/>
      </c>
      <c r="J259" s="29">
        <f>IF($A259="","",Rates!$C$7)</f>
        <v/>
      </c>
      <c r="K259" s="29">
        <f>IF($A259="","",Rates!$C$8)</f>
        <v/>
      </c>
      <c r="L259" s="29">
        <f>IF($A259="","",($B259+$C259)*$I259)</f>
        <v/>
      </c>
      <c r="M259" s="29">
        <f>IF($A259="","",$G259*$J259+($E259+$F259+$G259)*$K259)</f>
        <v/>
      </c>
      <c r="N259" s="20" t="n"/>
      <c r="O259" s="10" t="n"/>
      <c r="P259" s="10" t="n"/>
      <c r="Q259" s="29">
        <f>IF($A259="","",IF($P259="YES",IF($O259="Bob",$N259,-$N259),0))</f>
        <v/>
      </c>
      <c r="R259" s="30">
        <f>IF($A259="","",IF(ROUND($S259,2)&gt;0,"Olivia pays Bob "&amp;TEXT($S259,"#,##0.00"),IF(ROUND($S259,2)&lt;0,"Bob pays Olivia "&amp;TEXT(-$S259,"#,##0.00"),"Nothing owed")))</f>
        <v/>
      </c>
      <c r="S259" s="31">
        <f>IF($A259="","",$L259-$M259+$Q259)</f>
        <v/>
      </c>
    </row>
    <row r="260" ht="17" customHeight="1">
      <c r="A260" s="26" t="n"/>
      <c r="B260" s="27" t="n"/>
      <c r="C260" s="27" t="n"/>
      <c r="D260" s="27" t="n"/>
      <c r="E260" s="27" t="n"/>
      <c r="F260" s="27" t="n"/>
      <c r="G260" s="27" t="n"/>
      <c r="H260" s="28">
        <f>IF($A260="","",SUM($B260:$G260))</f>
        <v/>
      </c>
      <c r="I260" s="29">
        <f>IF($A260="","",Rates!$C$6)</f>
        <v/>
      </c>
      <c r="J260" s="29">
        <f>IF($A260="","",Rates!$C$7)</f>
        <v/>
      </c>
      <c r="K260" s="29">
        <f>IF($A260="","",Rates!$C$8)</f>
        <v/>
      </c>
      <c r="L260" s="29">
        <f>IF($A260="","",($B260+$C260)*$I260)</f>
        <v/>
      </c>
      <c r="M260" s="29">
        <f>IF($A260="","",$G260*$J260+($E260+$F260+$G260)*$K260)</f>
        <v/>
      </c>
      <c r="N260" s="20" t="n"/>
      <c r="O260" s="10" t="n"/>
      <c r="P260" s="10" t="n"/>
      <c r="Q260" s="29">
        <f>IF($A260="","",IF($P260="YES",IF($O260="Bob",$N260,-$N260),0))</f>
        <v/>
      </c>
      <c r="R260" s="30">
        <f>IF($A260="","",IF(ROUND($S260,2)&gt;0,"Olivia pays Bob "&amp;TEXT($S260,"#,##0.00"),IF(ROUND($S260,2)&lt;0,"Bob pays Olivia "&amp;TEXT(-$S260,"#,##0.00"),"Nothing owed")))</f>
        <v/>
      </c>
      <c r="S260" s="31">
        <f>IF($A260="","",$L260-$M260+$Q260)</f>
        <v/>
      </c>
    </row>
    <row r="261" ht="17" customHeight="1">
      <c r="A261" s="26" t="n"/>
      <c r="B261" s="27" t="n"/>
      <c r="C261" s="27" t="n"/>
      <c r="D261" s="27" t="n"/>
      <c r="E261" s="27" t="n"/>
      <c r="F261" s="27" t="n"/>
      <c r="G261" s="27" t="n"/>
      <c r="H261" s="28">
        <f>IF($A261="","",SUM($B261:$G261))</f>
        <v/>
      </c>
      <c r="I261" s="29">
        <f>IF($A261="","",Rates!$C$6)</f>
        <v/>
      </c>
      <c r="J261" s="29">
        <f>IF($A261="","",Rates!$C$7)</f>
        <v/>
      </c>
      <c r="K261" s="29">
        <f>IF($A261="","",Rates!$C$8)</f>
        <v/>
      </c>
      <c r="L261" s="29">
        <f>IF($A261="","",($B261+$C261)*$I261)</f>
        <v/>
      </c>
      <c r="M261" s="29">
        <f>IF($A261="","",$G261*$J261+($E261+$F261+$G261)*$K261)</f>
        <v/>
      </c>
      <c r="N261" s="20" t="n"/>
      <c r="O261" s="10" t="n"/>
      <c r="P261" s="10" t="n"/>
      <c r="Q261" s="29">
        <f>IF($A261="","",IF($P261="YES",IF($O261="Bob",$N261,-$N261),0))</f>
        <v/>
      </c>
      <c r="R261" s="30">
        <f>IF($A261="","",IF(ROUND($S261,2)&gt;0,"Olivia pays Bob "&amp;TEXT($S261,"#,##0.00"),IF(ROUND($S261,2)&lt;0,"Bob pays Olivia "&amp;TEXT(-$S261,"#,##0.00"),"Nothing owed")))</f>
        <v/>
      </c>
      <c r="S261" s="31">
        <f>IF($A261="","",$L261-$M261+$Q261)</f>
        <v/>
      </c>
    </row>
    <row r="262" ht="17" customHeight="1">
      <c r="A262" s="26" t="n"/>
      <c r="B262" s="27" t="n"/>
      <c r="C262" s="27" t="n"/>
      <c r="D262" s="27" t="n"/>
      <c r="E262" s="27" t="n"/>
      <c r="F262" s="27" t="n"/>
      <c r="G262" s="27" t="n"/>
      <c r="H262" s="28">
        <f>IF($A262="","",SUM($B262:$G262))</f>
        <v/>
      </c>
      <c r="I262" s="29">
        <f>IF($A262="","",Rates!$C$6)</f>
        <v/>
      </c>
      <c r="J262" s="29">
        <f>IF($A262="","",Rates!$C$7)</f>
        <v/>
      </c>
      <c r="K262" s="29">
        <f>IF($A262="","",Rates!$C$8)</f>
        <v/>
      </c>
      <c r="L262" s="29">
        <f>IF($A262="","",($B262+$C262)*$I262)</f>
        <v/>
      </c>
      <c r="M262" s="29">
        <f>IF($A262="","",$G262*$J262+($E262+$F262+$G262)*$K262)</f>
        <v/>
      </c>
      <c r="N262" s="20" t="n"/>
      <c r="O262" s="10" t="n"/>
      <c r="P262" s="10" t="n"/>
      <c r="Q262" s="29">
        <f>IF($A262="","",IF($P262="YES",IF($O262="Bob",$N262,-$N262),0))</f>
        <v/>
      </c>
      <c r="R262" s="30">
        <f>IF($A262="","",IF(ROUND($S262,2)&gt;0,"Olivia pays Bob "&amp;TEXT($S262,"#,##0.00"),IF(ROUND($S262,2)&lt;0,"Bob pays Olivia "&amp;TEXT(-$S262,"#,##0.00"),"Nothing owed")))</f>
        <v/>
      </c>
      <c r="S262" s="31">
        <f>IF($A262="","",$L262-$M262+$Q262)</f>
        <v/>
      </c>
    </row>
    <row r="263" ht="17" customHeight="1">
      <c r="A263" s="26" t="n"/>
      <c r="B263" s="27" t="n"/>
      <c r="C263" s="27" t="n"/>
      <c r="D263" s="27" t="n"/>
      <c r="E263" s="27" t="n"/>
      <c r="F263" s="27" t="n"/>
      <c r="G263" s="27" t="n"/>
      <c r="H263" s="28">
        <f>IF($A263="","",SUM($B263:$G263))</f>
        <v/>
      </c>
      <c r="I263" s="29">
        <f>IF($A263="","",Rates!$C$6)</f>
        <v/>
      </c>
      <c r="J263" s="29">
        <f>IF($A263="","",Rates!$C$7)</f>
        <v/>
      </c>
      <c r="K263" s="29">
        <f>IF($A263="","",Rates!$C$8)</f>
        <v/>
      </c>
      <c r="L263" s="29">
        <f>IF($A263="","",($B263+$C263)*$I263)</f>
        <v/>
      </c>
      <c r="M263" s="29">
        <f>IF($A263="","",$G263*$J263+($E263+$F263+$G263)*$K263)</f>
        <v/>
      </c>
      <c r="N263" s="20" t="n"/>
      <c r="O263" s="10" t="n"/>
      <c r="P263" s="10" t="n"/>
      <c r="Q263" s="29">
        <f>IF($A263="","",IF($P263="YES",IF($O263="Bob",$N263,-$N263),0))</f>
        <v/>
      </c>
      <c r="R263" s="30">
        <f>IF($A263="","",IF(ROUND($S263,2)&gt;0,"Olivia pays Bob "&amp;TEXT($S263,"#,##0.00"),IF(ROUND($S263,2)&lt;0,"Bob pays Olivia "&amp;TEXT(-$S263,"#,##0.00"),"Nothing owed")))</f>
        <v/>
      </c>
      <c r="S263" s="31">
        <f>IF($A263="","",$L263-$M263+$Q263)</f>
        <v/>
      </c>
    </row>
    <row r="264" ht="17" customHeight="1">
      <c r="A264" s="26" t="n"/>
      <c r="B264" s="27" t="n"/>
      <c r="C264" s="27" t="n"/>
      <c r="D264" s="27" t="n"/>
      <c r="E264" s="27" t="n"/>
      <c r="F264" s="27" t="n"/>
      <c r="G264" s="27" t="n"/>
      <c r="H264" s="28">
        <f>IF($A264="","",SUM($B264:$G264))</f>
        <v/>
      </c>
      <c r="I264" s="29">
        <f>IF($A264="","",Rates!$C$6)</f>
        <v/>
      </c>
      <c r="J264" s="29">
        <f>IF($A264="","",Rates!$C$7)</f>
        <v/>
      </c>
      <c r="K264" s="29">
        <f>IF($A264="","",Rates!$C$8)</f>
        <v/>
      </c>
      <c r="L264" s="29">
        <f>IF($A264="","",($B264+$C264)*$I264)</f>
        <v/>
      </c>
      <c r="M264" s="29">
        <f>IF($A264="","",$G264*$J264+($E264+$F264+$G264)*$K264)</f>
        <v/>
      </c>
      <c r="N264" s="20" t="n"/>
      <c r="O264" s="10" t="n"/>
      <c r="P264" s="10" t="n"/>
      <c r="Q264" s="29">
        <f>IF($A264="","",IF($P264="YES",IF($O264="Bob",$N264,-$N264),0))</f>
        <v/>
      </c>
      <c r="R264" s="30">
        <f>IF($A264="","",IF(ROUND($S264,2)&gt;0,"Olivia pays Bob "&amp;TEXT($S264,"#,##0.00"),IF(ROUND($S264,2)&lt;0,"Bob pays Olivia "&amp;TEXT(-$S264,"#,##0.00"),"Nothing owed")))</f>
        <v/>
      </c>
      <c r="S264" s="31">
        <f>IF($A264="","",$L264-$M264+$Q264)</f>
        <v/>
      </c>
    </row>
    <row r="265" ht="17" customHeight="1">
      <c r="A265" s="26" t="n"/>
      <c r="B265" s="27" t="n"/>
      <c r="C265" s="27" t="n"/>
      <c r="D265" s="27" t="n"/>
      <c r="E265" s="27" t="n"/>
      <c r="F265" s="27" t="n"/>
      <c r="G265" s="27" t="n"/>
      <c r="H265" s="28">
        <f>IF($A265="","",SUM($B265:$G265))</f>
        <v/>
      </c>
      <c r="I265" s="29">
        <f>IF($A265="","",Rates!$C$6)</f>
        <v/>
      </c>
      <c r="J265" s="29">
        <f>IF($A265="","",Rates!$C$7)</f>
        <v/>
      </c>
      <c r="K265" s="29">
        <f>IF($A265="","",Rates!$C$8)</f>
        <v/>
      </c>
      <c r="L265" s="29">
        <f>IF($A265="","",($B265+$C265)*$I265)</f>
        <v/>
      </c>
      <c r="M265" s="29">
        <f>IF($A265="","",$G265*$J265+($E265+$F265+$G265)*$K265)</f>
        <v/>
      </c>
      <c r="N265" s="20" t="n"/>
      <c r="O265" s="10" t="n"/>
      <c r="P265" s="10" t="n"/>
      <c r="Q265" s="29">
        <f>IF($A265="","",IF($P265="YES",IF($O265="Bob",$N265,-$N265),0))</f>
        <v/>
      </c>
      <c r="R265" s="30">
        <f>IF($A265="","",IF(ROUND($S265,2)&gt;0,"Olivia pays Bob "&amp;TEXT($S265,"#,##0.00"),IF(ROUND($S265,2)&lt;0,"Bob pays Olivia "&amp;TEXT(-$S265,"#,##0.00"),"Nothing owed")))</f>
        <v/>
      </c>
      <c r="S265" s="31">
        <f>IF($A265="","",$L265-$M265+$Q265)</f>
        <v/>
      </c>
    </row>
    <row r="266" ht="17" customHeight="1">
      <c r="A266" s="26" t="n"/>
      <c r="B266" s="27" t="n"/>
      <c r="C266" s="27" t="n"/>
      <c r="D266" s="27" t="n"/>
      <c r="E266" s="27" t="n"/>
      <c r="F266" s="27" t="n"/>
      <c r="G266" s="27" t="n"/>
      <c r="H266" s="28">
        <f>IF($A266="","",SUM($B266:$G266))</f>
        <v/>
      </c>
      <c r="I266" s="29">
        <f>IF($A266="","",Rates!$C$6)</f>
        <v/>
      </c>
      <c r="J266" s="29">
        <f>IF($A266="","",Rates!$C$7)</f>
        <v/>
      </c>
      <c r="K266" s="29">
        <f>IF($A266="","",Rates!$C$8)</f>
        <v/>
      </c>
      <c r="L266" s="29">
        <f>IF($A266="","",($B266+$C266)*$I266)</f>
        <v/>
      </c>
      <c r="M266" s="29">
        <f>IF($A266="","",$G266*$J266+($E266+$F266+$G266)*$K266)</f>
        <v/>
      </c>
      <c r="N266" s="20" t="n"/>
      <c r="O266" s="10" t="n"/>
      <c r="P266" s="10" t="n"/>
      <c r="Q266" s="29">
        <f>IF($A266="","",IF($P266="YES",IF($O266="Bob",$N266,-$N266),0))</f>
        <v/>
      </c>
      <c r="R266" s="30">
        <f>IF($A266="","",IF(ROUND($S266,2)&gt;0,"Olivia pays Bob "&amp;TEXT($S266,"#,##0.00"),IF(ROUND($S266,2)&lt;0,"Bob pays Olivia "&amp;TEXT(-$S266,"#,##0.00"),"Nothing owed")))</f>
        <v/>
      </c>
      <c r="S266" s="31">
        <f>IF($A266="","",$L266-$M266+$Q266)</f>
        <v/>
      </c>
    </row>
    <row r="267" ht="17" customHeight="1">
      <c r="A267" s="26" t="n"/>
      <c r="B267" s="27" t="n"/>
      <c r="C267" s="27" t="n"/>
      <c r="D267" s="27" t="n"/>
      <c r="E267" s="27" t="n"/>
      <c r="F267" s="27" t="n"/>
      <c r="G267" s="27" t="n"/>
      <c r="H267" s="28">
        <f>IF($A267="","",SUM($B267:$G267))</f>
        <v/>
      </c>
      <c r="I267" s="29">
        <f>IF($A267="","",Rates!$C$6)</f>
        <v/>
      </c>
      <c r="J267" s="29">
        <f>IF($A267="","",Rates!$C$7)</f>
        <v/>
      </c>
      <c r="K267" s="29">
        <f>IF($A267="","",Rates!$C$8)</f>
        <v/>
      </c>
      <c r="L267" s="29">
        <f>IF($A267="","",($B267+$C267)*$I267)</f>
        <v/>
      </c>
      <c r="M267" s="29">
        <f>IF($A267="","",$G267*$J267+($E267+$F267+$G267)*$K267)</f>
        <v/>
      </c>
      <c r="N267" s="20" t="n"/>
      <c r="O267" s="10" t="n"/>
      <c r="P267" s="10" t="n"/>
      <c r="Q267" s="29">
        <f>IF($A267="","",IF($P267="YES",IF($O267="Bob",$N267,-$N267),0))</f>
        <v/>
      </c>
      <c r="R267" s="30">
        <f>IF($A267="","",IF(ROUND($S267,2)&gt;0,"Olivia pays Bob "&amp;TEXT($S267,"#,##0.00"),IF(ROUND($S267,2)&lt;0,"Bob pays Olivia "&amp;TEXT(-$S267,"#,##0.00"),"Nothing owed")))</f>
        <v/>
      </c>
      <c r="S267" s="31">
        <f>IF($A267="","",$L267-$M267+$Q267)</f>
        <v/>
      </c>
    </row>
    <row r="268" ht="17" customHeight="1">
      <c r="A268" s="26" t="n"/>
      <c r="B268" s="27" t="n"/>
      <c r="C268" s="27" t="n"/>
      <c r="D268" s="27" t="n"/>
      <c r="E268" s="27" t="n"/>
      <c r="F268" s="27" t="n"/>
      <c r="G268" s="27" t="n"/>
      <c r="H268" s="28">
        <f>IF($A268="","",SUM($B268:$G268))</f>
        <v/>
      </c>
      <c r="I268" s="29">
        <f>IF($A268="","",Rates!$C$6)</f>
        <v/>
      </c>
      <c r="J268" s="29">
        <f>IF($A268="","",Rates!$C$7)</f>
        <v/>
      </c>
      <c r="K268" s="29">
        <f>IF($A268="","",Rates!$C$8)</f>
        <v/>
      </c>
      <c r="L268" s="29">
        <f>IF($A268="","",($B268+$C268)*$I268)</f>
        <v/>
      </c>
      <c r="M268" s="29">
        <f>IF($A268="","",$G268*$J268+($E268+$F268+$G268)*$K268)</f>
        <v/>
      </c>
      <c r="N268" s="20" t="n"/>
      <c r="O268" s="10" t="n"/>
      <c r="P268" s="10" t="n"/>
      <c r="Q268" s="29">
        <f>IF($A268="","",IF($P268="YES",IF($O268="Bob",$N268,-$N268),0))</f>
        <v/>
      </c>
      <c r="R268" s="30">
        <f>IF($A268="","",IF(ROUND($S268,2)&gt;0,"Olivia pays Bob "&amp;TEXT($S268,"#,##0.00"),IF(ROUND($S268,2)&lt;0,"Bob pays Olivia "&amp;TEXT(-$S268,"#,##0.00"),"Nothing owed")))</f>
        <v/>
      </c>
      <c r="S268" s="31">
        <f>IF($A268="","",$L268-$M268+$Q268)</f>
        <v/>
      </c>
    </row>
    <row r="269" ht="17" customHeight="1">
      <c r="A269" s="26" t="n"/>
      <c r="B269" s="27" t="n"/>
      <c r="C269" s="27" t="n"/>
      <c r="D269" s="27" t="n"/>
      <c r="E269" s="27" t="n"/>
      <c r="F269" s="27" t="n"/>
      <c r="G269" s="27" t="n"/>
      <c r="H269" s="28">
        <f>IF($A269="","",SUM($B269:$G269))</f>
        <v/>
      </c>
      <c r="I269" s="29">
        <f>IF($A269="","",Rates!$C$6)</f>
        <v/>
      </c>
      <c r="J269" s="29">
        <f>IF($A269="","",Rates!$C$7)</f>
        <v/>
      </c>
      <c r="K269" s="29">
        <f>IF($A269="","",Rates!$C$8)</f>
        <v/>
      </c>
      <c r="L269" s="29">
        <f>IF($A269="","",($B269+$C269)*$I269)</f>
        <v/>
      </c>
      <c r="M269" s="29">
        <f>IF($A269="","",$G269*$J269+($E269+$F269+$G269)*$K269)</f>
        <v/>
      </c>
      <c r="N269" s="20" t="n"/>
      <c r="O269" s="10" t="n"/>
      <c r="P269" s="10" t="n"/>
      <c r="Q269" s="29">
        <f>IF($A269="","",IF($P269="YES",IF($O269="Bob",$N269,-$N269),0))</f>
        <v/>
      </c>
      <c r="R269" s="30">
        <f>IF($A269="","",IF(ROUND($S269,2)&gt;0,"Olivia pays Bob "&amp;TEXT($S269,"#,##0.00"),IF(ROUND($S269,2)&lt;0,"Bob pays Olivia "&amp;TEXT(-$S269,"#,##0.00"),"Nothing owed")))</f>
        <v/>
      </c>
      <c r="S269" s="31">
        <f>IF($A269="","",$L269-$M269+$Q269)</f>
        <v/>
      </c>
    </row>
    <row r="270" ht="17" customHeight="1">
      <c r="A270" s="26" t="n"/>
      <c r="B270" s="27" t="n"/>
      <c r="C270" s="27" t="n"/>
      <c r="D270" s="27" t="n"/>
      <c r="E270" s="27" t="n"/>
      <c r="F270" s="27" t="n"/>
      <c r="G270" s="27" t="n"/>
      <c r="H270" s="28">
        <f>IF($A270="","",SUM($B270:$G270))</f>
        <v/>
      </c>
      <c r="I270" s="29">
        <f>IF($A270="","",Rates!$C$6)</f>
        <v/>
      </c>
      <c r="J270" s="29">
        <f>IF($A270="","",Rates!$C$7)</f>
        <v/>
      </c>
      <c r="K270" s="29">
        <f>IF($A270="","",Rates!$C$8)</f>
        <v/>
      </c>
      <c r="L270" s="29">
        <f>IF($A270="","",($B270+$C270)*$I270)</f>
        <v/>
      </c>
      <c r="M270" s="29">
        <f>IF($A270="","",$G270*$J270+($E270+$F270+$G270)*$K270)</f>
        <v/>
      </c>
      <c r="N270" s="20" t="n"/>
      <c r="O270" s="10" t="n"/>
      <c r="P270" s="10" t="n"/>
      <c r="Q270" s="29">
        <f>IF($A270="","",IF($P270="YES",IF($O270="Bob",$N270,-$N270),0))</f>
        <v/>
      </c>
      <c r="R270" s="30">
        <f>IF($A270="","",IF(ROUND($S270,2)&gt;0,"Olivia pays Bob "&amp;TEXT($S270,"#,##0.00"),IF(ROUND($S270,2)&lt;0,"Bob pays Olivia "&amp;TEXT(-$S270,"#,##0.00"),"Nothing owed")))</f>
        <v/>
      </c>
      <c r="S270" s="31">
        <f>IF($A270="","",$L270-$M270+$Q270)</f>
        <v/>
      </c>
    </row>
    <row r="271" ht="17" customHeight="1">
      <c r="A271" s="26" t="n"/>
      <c r="B271" s="27" t="n"/>
      <c r="C271" s="27" t="n"/>
      <c r="D271" s="27" t="n"/>
      <c r="E271" s="27" t="n"/>
      <c r="F271" s="27" t="n"/>
      <c r="G271" s="27" t="n"/>
      <c r="H271" s="28">
        <f>IF($A271="","",SUM($B271:$G271))</f>
        <v/>
      </c>
      <c r="I271" s="29">
        <f>IF($A271="","",Rates!$C$6)</f>
        <v/>
      </c>
      <c r="J271" s="29">
        <f>IF($A271="","",Rates!$C$7)</f>
        <v/>
      </c>
      <c r="K271" s="29">
        <f>IF($A271="","",Rates!$C$8)</f>
        <v/>
      </c>
      <c r="L271" s="29">
        <f>IF($A271="","",($B271+$C271)*$I271)</f>
        <v/>
      </c>
      <c r="M271" s="29">
        <f>IF($A271="","",$G271*$J271+($E271+$F271+$G271)*$K271)</f>
        <v/>
      </c>
      <c r="N271" s="20" t="n"/>
      <c r="O271" s="10" t="n"/>
      <c r="P271" s="10" t="n"/>
      <c r="Q271" s="29">
        <f>IF($A271="","",IF($P271="YES",IF($O271="Bob",$N271,-$N271),0))</f>
        <v/>
      </c>
      <c r="R271" s="30">
        <f>IF($A271="","",IF(ROUND($S271,2)&gt;0,"Olivia pays Bob "&amp;TEXT($S271,"#,##0.00"),IF(ROUND($S271,2)&lt;0,"Bob pays Olivia "&amp;TEXT(-$S271,"#,##0.00"),"Nothing owed")))</f>
        <v/>
      </c>
      <c r="S271" s="31">
        <f>IF($A271="","",$L271-$M271+$Q271)</f>
        <v/>
      </c>
    </row>
    <row r="272" ht="17" customHeight="1">
      <c r="A272" s="26" t="n"/>
      <c r="B272" s="27" t="n"/>
      <c r="C272" s="27" t="n"/>
      <c r="D272" s="27" t="n"/>
      <c r="E272" s="27" t="n"/>
      <c r="F272" s="27" t="n"/>
      <c r="G272" s="27" t="n"/>
      <c r="H272" s="28">
        <f>IF($A272="","",SUM($B272:$G272))</f>
        <v/>
      </c>
      <c r="I272" s="29">
        <f>IF($A272="","",Rates!$C$6)</f>
        <v/>
      </c>
      <c r="J272" s="29">
        <f>IF($A272="","",Rates!$C$7)</f>
        <v/>
      </c>
      <c r="K272" s="29">
        <f>IF($A272="","",Rates!$C$8)</f>
        <v/>
      </c>
      <c r="L272" s="29">
        <f>IF($A272="","",($B272+$C272)*$I272)</f>
        <v/>
      </c>
      <c r="M272" s="29">
        <f>IF($A272="","",$G272*$J272+($E272+$F272+$G272)*$K272)</f>
        <v/>
      </c>
      <c r="N272" s="20" t="n"/>
      <c r="O272" s="10" t="n"/>
      <c r="P272" s="10" t="n"/>
      <c r="Q272" s="29">
        <f>IF($A272="","",IF($P272="YES",IF($O272="Bob",$N272,-$N272),0))</f>
        <v/>
      </c>
      <c r="R272" s="30">
        <f>IF($A272="","",IF(ROUND($S272,2)&gt;0,"Olivia pays Bob "&amp;TEXT($S272,"#,##0.00"),IF(ROUND($S272,2)&lt;0,"Bob pays Olivia "&amp;TEXT(-$S272,"#,##0.00"),"Nothing owed")))</f>
        <v/>
      </c>
      <c r="S272" s="31">
        <f>IF($A272="","",$L272-$M272+$Q272)</f>
        <v/>
      </c>
    </row>
    <row r="273" ht="17" customHeight="1">
      <c r="A273" s="26" t="n"/>
      <c r="B273" s="27" t="n"/>
      <c r="C273" s="27" t="n"/>
      <c r="D273" s="27" t="n"/>
      <c r="E273" s="27" t="n"/>
      <c r="F273" s="27" t="n"/>
      <c r="G273" s="27" t="n"/>
      <c r="H273" s="28">
        <f>IF($A273="","",SUM($B273:$G273))</f>
        <v/>
      </c>
      <c r="I273" s="29">
        <f>IF($A273="","",Rates!$C$6)</f>
        <v/>
      </c>
      <c r="J273" s="29">
        <f>IF($A273="","",Rates!$C$7)</f>
        <v/>
      </c>
      <c r="K273" s="29">
        <f>IF($A273="","",Rates!$C$8)</f>
        <v/>
      </c>
      <c r="L273" s="29">
        <f>IF($A273="","",($B273+$C273)*$I273)</f>
        <v/>
      </c>
      <c r="M273" s="29">
        <f>IF($A273="","",$G273*$J273+($E273+$F273+$G273)*$K273)</f>
        <v/>
      </c>
      <c r="N273" s="20" t="n"/>
      <c r="O273" s="10" t="n"/>
      <c r="P273" s="10" t="n"/>
      <c r="Q273" s="29">
        <f>IF($A273="","",IF($P273="YES",IF($O273="Bob",$N273,-$N273),0))</f>
        <v/>
      </c>
      <c r="R273" s="30">
        <f>IF($A273="","",IF(ROUND($S273,2)&gt;0,"Olivia pays Bob "&amp;TEXT($S273,"#,##0.00"),IF(ROUND($S273,2)&lt;0,"Bob pays Olivia "&amp;TEXT(-$S273,"#,##0.00"),"Nothing owed")))</f>
        <v/>
      </c>
      <c r="S273" s="31">
        <f>IF($A273="","",$L273-$M273+$Q273)</f>
        <v/>
      </c>
    </row>
    <row r="274" ht="17" customHeight="1">
      <c r="A274" s="26" t="n"/>
      <c r="B274" s="27" t="n"/>
      <c r="C274" s="27" t="n"/>
      <c r="D274" s="27" t="n"/>
      <c r="E274" s="27" t="n"/>
      <c r="F274" s="27" t="n"/>
      <c r="G274" s="27" t="n"/>
      <c r="H274" s="28">
        <f>IF($A274="","",SUM($B274:$G274))</f>
        <v/>
      </c>
      <c r="I274" s="29">
        <f>IF($A274="","",Rates!$C$6)</f>
        <v/>
      </c>
      <c r="J274" s="29">
        <f>IF($A274="","",Rates!$C$7)</f>
        <v/>
      </c>
      <c r="K274" s="29">
        <f>IF($A274="","",Rates!$C$8)</f>
        <v/>
      </c>
      <c r="L274" s="29">
        <f>IF($A274="","",($B274+$C274)*$I274)</f>
        <v/>
      </c>
      <c r="M274" s="29">
        <f>IF($A274="","",$G274*$J274+($E274+$F274+$G274)*$K274)</f>
        <v/>
      </c>
      <c r="N274" s="20" t="n"/>
      <c r="O274" s="10" t="n"/>
      <c r="P274" s="10" t="n"/>
      <c r="Q274" s="29">
        <f>IF($A274="","",IF($P274="YES",IF($O274="Bob",$N274,-$N274),0))</f>
        <v/>
      </c>
      <c r="R274" s="30">
        <f>IF($A274="","",IF(ROUND($S274,2)&gt;0,"Olivia pays Bob "&amp;TEXT($S274,"#,##0.00"),IF(ROUND($S274,2)&lt;0,"Bob pays Olivia "&amp;TEXT(-$S274,"#,##0.00"),"Nothing owed")))</f>
        <v/>
      </c>
      <c r="S274" s="31">
        <f>IF($A274="","",$L274-$M274+$Q274)</f>
        <v/>
      </c>
    </row>
    <row r="275" ht="17" customHeight="1">
      <c r="A275" s="26" t="n"/>
      <c r="B275" s="27" t="n"/>
      <c r="C275" s="27" t="n"/>
      <c r="D275" s="27" t="n"/>
      <c r="E275" s="27" t="n"/>
      <c r="F275" s="27" t="n"/>
      <c r="G275" s="27" t="n"/>
      <c r="H275" s="28">
        <f>IF($A275="","",SUM($B275:$G275))</f>
        <v/>
      </c>
      <c r="I275" s="29">
        <f>IF($A275="","",Rates!$C$6)</f>
        <v/>
      </c>
      <c r="J275" s="29">
        <f>IF($A275="","",Rates!$C$7)</f>
        <v/>
      </c>
      <c r="K275" s="29">
        <f>IF($A275="","",Rates!$C$8)</f>
        <v/>
      </c>
      <c r="L275" s="29">
        <f>IF($A275="","",($B275+$C275)*$I275)</f>
        <v/>
      </c>
      <c r="M275" s="29">
        <f>IF($A275="","",$G275*$J275+($E275+$F275+$G275)*$K275)</f>
        <v/>
      </c>
      <c r="N275" s="20" t="n"/>
      <c r="O275" s="10" t="n"/>
      <c r="P275" s="10" t="n"/>
      <c r="Q275" s="29">
        <f>IF($A275="","",IF($P275="YES",IF($O275="Bob",$N275,-$N275),0))</f>
        <v/>
      </c>
      <c r="R275" s="30">
        <f>IF($A275="","",IF(ROUND($S275,2)&gt;0,"Olivia pays Bob "&amp;TEXT($S275,"#,##0.00"),IF(ROUND($S275,2)&lt;0,"Bob pays Olivia "&amp;TEXT(-$S275,"#,##0.00"),"Nothing owed")))</f>
        <v/>
      </c>
      <c r="S275" s="31">
        <f>IF($A275="","",$L275-$M275+$Q275)</f>
        <v/>
      </c>
    </row>
    <row r="276" ht="17" customHeight="1">
      <c r="A276" s="26" t="n"/>
      <c r="B276" s="27" t="n"/>
      <c r="C276" s="27" t="n"/>
      <c r="D276" s="27" t="n"/>
      <c r="E276" s="27" t="n"/>
      <c r="F276" s="27" t="n"/>
      <c r="G276" s="27" t="n"/>
      <c r="H276" s="28">
        <f>IF($A276="","",SUM($B276:$G276))</f>
        <v/>
      </c>
      <c r="I276" s="29">
        <f>IF($A276="","",Rates!$C$6)</f>
        <v/>
      </c>
      <c r="J276" s="29">
        <f>IF($A276="","",Rates!$C$7)</f>
        <v/>
      </c>
      <c r="K276" s="29">
        <f>IF($A276="","",Rates!$C$8)</f>
        <v/>
      </c>
      <c r="L276" s="29">
        <f>IF($A276="","",($B276+$C276)*$I276)</f>
        <v/>
      </c>
      <c r="M276" s="29">
        <f>IF($A276="","",$G276*$J276+($E276+$F276+$G276)*$K276)</f>
        <v/>
      </c>
      <c r="N276" s="20" t="n"/>
      <c r="O276" s="10" t="n"/>
      <c r="P276" s="10" t="n"/>
      <c r="Q276" s="29">
        <f>IF($A276="","",IF($P276="YES",IF($O276="Bob",$N276,-$N276),0))</f>
        <v/>
      </c>
      <c r="R276" s="30">
        <f>IF($A276="","",IF(ROUND($S276,2)&gt;0,"Olivia pays Bob "&amp;TEXT($S276,"#,##0.00"),IF(ROUND($S276,2)&lt;0,"Bob pays Olivia "&amp;TEXT(-$S276,"#,##0.00"),"Nothing owed")))</f>
        <v/>
      </c>
      <c r="S276" s="31">
        <f>IF($A276="","",$L276-$M276+$Q276)</f>
        <v/>
      </c>
    </row>
    <row r="277" ht="17" customHeight="1">
      <c r="A277" s="26" t="n"/>
      <c r="B277" s="27" t="n"/>
      <c r="C277" s="27" t="n"/>
      <c r="D277" s="27" t="n"/>
      <c r="E277" s="27" t="n"/>
      <c r="F277" s="27" t="n"/>
      <c r="G277" s="27" t="n"/>
      <c r="H277" s="28">
        <f>IF($A277="","",SUM($B277:$G277))</f>
        <v/>
      </c>
      <c r="I277" s="29">
        <f>IF($A277="","",Rates!$C$6)</f>
        <v/>
      </c>
      <c r="J277" s="29">
        <f>IF($A277="","",Rates!$C$7)</f>
        <v/>
      </c>
      <c r="K277" s="29">
        <f>IF($A277="","",Rates!$C$8)</f>
        <v/>
      </c>
      <c r="L277" s="29">
        <f>IF($A277="","",($B277+$C277)*$I277)</f>
        <v/>
      </c>
      <c r="M277" s="29">
        <f>IF($A277="","",$G277*$J277+($E277+$F277+$G277)*$K277)</f>
        <v/>
      </c>
      <c r="N277" s="20" t="n"/>
      <c r="O277" s="10" t="n"/>
      <c r="P277" s="10" t="n"/>
      <c r="Q277" s="29">
        <f>IF($A277="","",IF($P277="YES",IF($O277="Bob",$N277,-$N277),0))</f>
        <v/>
      </c>
      <c r="R277" s="30">
        <f>IF($A277="","",IF(ROUND($S277,2)&gt;0,"Olivia pays Bob "&amp;TEXT($S277,"#,##0.00"),IF(ROUND($S277,2)&lt;0,"Bob pays Olivia "&amp;TEXT(-$S277,"#,##0.00"),"Nothing owed")))</f>
        <v/>
      </c>
      <c r="S277" s="31">
        <f>IF($A277="","",$L277-$M277+$Q277)</f>
        <v/>
      </c>
    </row>
    <row r="278" ht="17" customHeight="1">
      <c r="A278" s="26" t="n"/>
      <c r="B278" s="27" t="n"/>
      <c r="C278" s="27" t="n"/>
      <c r="D278" s="27" t="n"/>
      <c r="E278" s="27" t="n"/>
      <c r="F278" s="27" t="n"/>
      <c r="G278" s="27" t="n"/>
      <c r="H278" s="28">
        <f>IF($A278="","",SUM($B278:$G278))</f>
        <v/>
      </c>
      <c r="I278" s="29">
        <f>IF($A278="","",Rates!$C$6)</f>
        <v/>
      </c>
      <c r="J278" s="29">
        <f>IF($A278="","",Rates!$C$7)</f>
        <v/>
      </c>
      <c r="K278" s="29">
        <f>IF($A278="","",Rates!$C$8)</f>
        <v/>
      </c>
      <c r="L278" s="29">
        <f>IF($A278="","",($B278+$C278)*$I278)</f>
        <v/>
      </c>
      <c r="M278" s="29">
        <f>IF($A278="","",$G278*$J278+($E278+$F278+$G278)*$K278)</f>
        <v/>
      </c>
      <c r="N278" s="20" t="n"/>
      <c r="O278" s="10" t="n"/>
      <c r="P278" s="10" t="n"/>
      <c r="Q278" s="29">
        <f>IF($A278="","",IF($P278="YES",IF($O278="Bob",$N278,-$N278),0))</f>
        <v/>
      </c>
      <c r="R278" s="30">
        <f>IF($A278="","",IF(ROUND($S278,2)&gt;0,"Olivia pays Bob "&amp;TEXT($S278,"#,##0.00"),IF(ROUND($S278,2)&lt;0,"Bob pays Olivia "&amp;TEXT(-$S278,"#,##0.00"),"Nothing owed")))</f>
        <v/>
      </c>
      <c r="S278" s="31">
        <f>IF($A278="","",$L278-$M278+$Q278)</f>
        <v/>
      </c>
    </row>
    <row r="279" ht="17" customHeight="1">
      <c r="A279" s="26" t="n"/>
      <c r="B279" s="27" t="n"/>
      <c r="C279" s="27" t="n"/>
      <c r="D279" s="27" t="n"/>
      <c r="E279" s="27" t="n"/>
      <c r="F279" s="27" t="n"/>
      <c r="G279" s="27" t="n"/>
      <c r="H279" s="28">
        <f>IF($A279="","",SUM($B279:$G279))</f>
        <v/>
      </c>
      <c r="I279" s="29">
        <f>IF($A279="","",Rates!$C$6)</f>
        <v/>
      </c>
      <c r="J279" s="29">
        <f>IF($A279="","",Rates!$C$7)</f>
        <v/>
      </c>
      <c r="K279" s="29">
        <f>IF($A279="","",Rates!$C$8)</f>
        <v/>
      </c>
      <c r="L279" s="29">
        <f>IF($A279="","",($B279+$C279)*$I279)</f>
        <v/>
      </c>
      <c r="M279" s="29">
        <f>IF($A279="","",$G279*$J279+($E279+$F279+$G279)*$K279)</f>
        <v/>
      </c>
      <c r="N279" s="20" t="n"/>
      <c r="O279" s="10" t="n"/>
      <c r="P279" s="10" t="n"/>
      <c r="Q279" s="29">
        <f>IF($A279="","",IF($P279="YES",IF($O279="Bob",$N279,-$N279),0))</f>
        <v/>
      </c>
      <c r="R279" s="30">
        <f>IF($A279="","",IF(ROUND($S279,2)&gt;0,"Olivia pays Bob "&amp;TEXT($S279,"#,##0.00"),IF(ROUND($S279,2)&lt;0,"Bob pays Olivia "&amp;TEXT(-$S279,"#,##0.00"),"Nothing owed")))</f>
        <v/>
      </c>
      <c r="S279" s="31">
        <f>IF($A279="","",$L279-$M279+$Q279)</f>
        <v/>
      </c>
    </row>
    <row r="280" ht="17" customHeight="1">
      <c r="A280" s="26" t="n"/>
      <c r="B280" s="27" t="n"/>
      <c r="C280" s="27" t="n"/>
      <c r="D280" s="27" t="n"/>
      <c r="E280" s="27" t="n"/>
      <c r="F280" s="27" t="n"/>
      <c r="G280" s="27" t="n"/>
      <c r="H280" s="28">
        <f>IF($A280="","",SUM($B280:$G280))</f>
        <v/>
      </c>
      <c r="I280" s="29">
        <f>IF($A280="","",Rates!$C$6)</f>
        <v/>
      </c>
      <c r="J280" s="29">
        <f>IF($A280="","",Rates!$C$7)</f>
        <v/>
      </c>
      <c r="K280" s="29">
        <f>IF($A280="","",Rates!$C$8)</f>
        <v/>
      </c>
      <c r="L280" s="29">
        <f>IF($A280="","",($B280+$C280)*$I280)</f>
        <v/>
      </c>
      <c r="M280" s="29">
        <f>IF($A280="","",$G280*$J280+($E280+$F280+$G280)*$K280)</f>
        <v/>
      </c>
      <c r="N280" s="20" t="n"/>
      <c r="O280" s="10" t="n"/>
      <c r="P280" s="10" t="n"/>
      <c r="Q280" s="29">
        <f>IF($A280="","",IF($P280="YES",IF($O280="Bob",$N280,-$N280),0))</f>
        <v/>
      </c>
      <c r="R280" s="30">
        <f>IF($A280="","",IF(ROUND($S280,2)&gt;0,"Olivia pays Bob "&amp;TEXT($S280,"#,##0.00"),IF(ROUND($S280,2)&lt;0,"Bob pays Olivia "&amp;TEXT(-$S280,"#,##0.00"),"Nothing owed")))</f>
        <v/>
      </c>
      <c r="S280" s="31">
        <f>IF($A280="","",$L280-$M280+$Q280)</f>
        <v/>
      </c>
    </row>
    <row r="281" ht="17" customHeight="1">
      <c r="A281" s="26" t="n"/>
      <c r="B281" s="27" t="n"/>
      <c r="C281" s="27" t="n"/>
      <c r="D281" s="27" t="n"/>
      <c r="E281" s="27" t="n"/>
      <c r="F281" s="27" t="n"/>
      <c r="G281" s="27" t="n"/>
      <c r="H281" s="28">
        <f>IF($A281="","",SUM($B281:$G281))</f>
        <v/>
      </c>
      <c r="I281" s="29">
        <f>IF($A281="","",Rates!$C$6)</f>
        <v/>
      </c>
      <c r="J281" s="29">
        <f>IF($A281="","",Rates!$C$7)</f>
        <v/>
      </c>
      <c r="K281" s="29">
        <f>IF($A281="","",Rates!$C$8)</f>
        <v/>
      </c>
      <c r="L281" s="29">
        <f>IF($A281="","",($B281+$C281)*$I281)</f>
        <v/>
      </c>
      <c r="M281" s="29">
        <f>IF($A281="","",$G281*$J281+($E281+$F281+$G281)*$K281)</f>
        <v/>
      </c>
      <c r="N281" s="20" t="n"/>
      <c r="O281" s="10" t="n"/>
      <c r="P281" s="10" t="n"/>
      <c r="Q281" s="29">
        <f>IF($A281="","",IF($P281="YES",IF($O281="Bob",$N281,-$N281),0))</f>
        <v/>
      </c>
      <c r="R281" s="30">
        <f>IF($A281="","",IF(ROUND($S281,2)&gt;0,"Olivia pays Bob "&amp;TEXT($S281,"#,##0.00"),IF(ROUND($S281,2)&lt;0,"Bob pays Olivia "&amp;TEXT(-$S281,"#,##0.00"),"Nothing owed")))</f>
        <v/>
      </c>
      <c r="S281" s="31">
        <f>IF($A281="","",$L281-$M281+$Q281)</f>
        <v/>
      </c>
    </row>
    <row r="282" ht="17" customHeight="1">
      <c r="A282" s="26" t="n"/>
      <c r="B282" s="27" t="n"/>
      <c r="C282" s="27" t="n"/>
      <c r="D282" s="27" t="n"/>
      <c r="E282" s="27" t="n"/>
      <c r="F282" s="27" t="n"/>
      <c r="G282" s="27" t="n"/>
      <c r="H282" s="28">
        <f>IF($A282="","",SUM($B282:$G282))</f>
        <v/>
      </c>
      <c r="I282" s="29">
        <f>IF($A282="","",Rates!$C$6)</f>
        <v/>
      </c>
      <c r="J282" s="29">
        <f>IF($A282="","",Rates!$C$7)</f>
        <v/>
      </c>
      <c r="K282" s="29">
        <f>IF($A282="","",Rates!$C$8)</f>
        <v/>
      </c>
      <c r="L282" s="29">
        <f>IF($A282="","",($B282+$C282)*$I282)</f>
        <v/>
      </c>
      <c r="M282" s="29">
        <f>IF($A282="","",$G282*$J282+($E282+$F282+$G282)*$K282)</f>
        <v/>
      </c>
      <c r="N282" s="20" t="n"/>
      <c r="O282" s="10" t="n"/>
      <c r="P282" s="10" t="n"/>
      <c r="Q282" s="29">
        <f>IF($A282="","",IF($P282="YES",IF($O282="Bob",$N282,-$N282),0))</f>
        <v/>
      </c>
      <c r="R282" s="30">
        <f>IF($A282="","",IF(ROUND($S282,2)&gt;0,"Olivia pays Bob "&amp;TEXT($S282,"#,##0.00"),IF(ROUND($S282,2)&lt;0,"Bob pays Olivia "&amp;TEXT(-$S282,"#,##0.00"),"Nothing owed")))</f>
        <v/>
      </c>
      <c r="S282" s="31">
        <f>IF($A282="","",$L282-$M282+$Q282)</f>
        <v/>
      </c>
    </row>
    <row r="283" ht="17" customHeight="1">
      <c r="A283" s="26" t="n"/>
      <c r="B283" s="27" t="n"/>
      <c r="C283" s="27" t="n"/>
      <c r="D283" s="27" t="n"/>
      <c r="E283" s="27" t="n"/>
      <c r="F283" s="27" t="n"/>
      <c r="G283" s="27" t="n"/>
      <c r="H283" s="28">
        <f>IF($A283="","",SUM($B283:$G283))</f>
        <v/>
      </c>
      <c r="I283" s="29">
        <f>IF($A283="","",Rates!$C$6)</f>
        <v/>
      </c>
      <c r="J283" s="29">
        <f>IF($A283="","",Rates!$C$7)</f>
        <v/>
      </c>
      <c r="K283" s="29">
        <f>IF($A283="","",Rates!$C$8)</f>
        <v/>
      </c>
      <c r="L283" s="29">
        <f>IF($A283="","",($B283+$C283)*$I283)</f>
        <v/>
      </c>
      <c r="M283" s="29">
        <f>IF($A283="","",$G283*$J283+($E283+$F283+$G283)*$K283)</f>
        <v/>
      </c>
      <c r="N283" s="20" t="n"/>
      <c r="O283" s="10" t="n"/>
      <c r="P283" s="10" t="n"/>
      <c r="Q283" s="29">
        <f>IF($A283="","",IF($P283="YES",IF($O283="Bob",$N283,-$N283),0))</f>
        <v/>
      </c>
      <c r="R283" s="30">
        <f>IF($A283="","",IF(ROUND($S283,2)&gt;0,"Olivia pays Bob "&amp;TEXT($S283,"#,##0.00"),IF(ROUND($S283,2)&lt;0,"Bob pays Olivia "&amp;TEXT(-$S283,"#,##0.00"),"Nothing owed")))</f>
        <v/>
      </c>
      <c r="S283" s="31">
        <f>IF($A283="","",$L283-$M283+$Q283)</f>
        <v/>
      </c>
    </row>
    <row r="284" ht="17" customHeight="1">
      <c r="A284" s="26" t="n"/>
      <c r="B284" s="27" t="n"/>
      <c r="C284" s="27" t="n"/>
      <c r="D284" s="27" t="n"/>
      <c r="E284" s="27" t="n"/>
      <c r="F284" s="27" t="n"/>
      <c r="G284" s="27" t="n"/>
      <c r="H284" s="28">
        <f>IF($A284="","",SUM($B284:$G284))</f>
        <v/>
      </c>
      <c r="I284" s="29">
        <f>IF($A284="","",Rates!$C$6)</f>
        <v/>
      </c>
      <c r="J284" s="29">
        <f>IF($A284="","",Rates!$C$7)</f>
        <v/>
      </c>
      <c r="K284" s="29">
        <f>IF($A284="","",Rates!$C$8)</f>
        <v/>
      </c>
      <c r="L284" s="29">
        <f>IF($A284="","",($B284+$C284)*$I284)</f>
        <v/>
      </c>
      <c r="M284" s="29">
        <f>IF($A284="","",$G284*$J284+($E284+$F284+$G284)*$K284)</f>
        <v/>
      </c>
      <c r="N284" s="20" t="n"/>
      <c r="O284" s="10" t="n"/>
      <c r="P284" s="10" t="n"/>
      <c r="Q284" s="29">
        <f>IF($A284="","",IF($P284="YES",IF($O284="Bob",$N284,-$N284),0))</f>
        <v/>
      </c>
      <c r="R284" s="30">
        <f>IF($A284="","",IF(ROUND($S284,2)&gt;0,"Olivia pays Bob "&amp;TEXT($S284,"#,##0.00"),IF(ROUND($S284,2)&lt;0,"Bob pays Olivia "&amp;TEXT(-$S284,"#,##0.00"),"Nothing owed")))</f>
        <v/>
      </c>
      <c r="S284" s="31">
        <f>IF($A284="","",$L284-$M284+$Q284)</f>
        <v/>
      </c>
    </row>
    <row r="285" ht="17" customHeight="1">
      <c r="A285" s="26" t="n"/>
      <c r="B285" s="27" t="n"/>
      <c r="C285" s="27" t="n"/>
      <c r="D285" s="27" t="n"/>
      <c r="E285" s="27" t="n"/>
      <c r="F285" s="27" t="n"/>
      <c r="G285" s="27" t="n"/>
      <c r="H285" s="28">
        <f>IF($A285="","",SUM($B285:$G285))</f>
        <v/>
      </c>
      <c r="I285" s="29">
        <f>IF($A285="","",Rates!$C$6)</f>
        <v/>
      </c>
      <c r="J285" s="29">
        <f>IF($A285="","",Rates!$C$7)</f>
        <v/>
      </c>
      <c r="K285" s="29">
        <f>IF($A285="","",Rates!$C$8)</f>
        <v/>
      </c>
      <c r="L285" s="29">
        <f>IF($A285="","",($B285+$C285)*$I285)</f>
        <v/>
      </c>
      <c r="M285" s="29">
        <f>IF($A285="","",$G285*$J285+($E285+$F285+$G285)*$K285)</f>
        <v/>
      </c>
      <c r="N285" s="20" t="n"/>
      <c r="O285" s="10" t="n"/>
      <c r="P285" s="10" t="n"/>
      <c r="Q285" s="29">
        <f>IF($A285="","",IF($P285="YES",IF($O285="Bob",$N285,-$N285),0))</f>
        <v/>
      </c>
      <c r="R285" s="30">
        <f>IF($A285="","",IF(ROUND($S285,2)&gt;0,"Olivia pays Bob "&amp;TEXT($S285,"#,##0.00"),IF(ROUND($S285,2)&lt;0,"Bob pays Olivia "&amp;TEXT(-$S285,"#,##0.00"),"Nothing owed")))</f>
        <v/>
      </c>
      <c r="S285" s="31">
        <f>IF($A285="","",$L285-$M285+$Q285)</f>
        <v/>
      </c>
    </row>
    <row r="286" ht="17" customHeight="1">
      <c r="A286" s="26" t="n"/>
      <c r="B286" s="27" t="n"/>
      <c r="C286" s="27" t="n"/>
      <c r="D286" s="27" t="n"/>
      <c r="E286" s="27" t="n"/>
      <c r="F286" s="27" t="n"/>
      <c r="G286" s="27" t="n"/>
      <c r="H286" s="28">
        <f>IF($A286="","",SUM($B286:$G286))</f>
        <v/>
      </c>
      <c r="I286" s="29">
        <f>IF($A286="","",Rates!$C$6)</f>
        <v/>
      </c>
      <c r="J286" s="29">
        <f>IF($A286="","",Rates!$C$7)</f>
        <v/>
      </c>
      <c r="K286" s="29">
        <f>IF($A286="","",Rates!$C$8)</f>
        <v/>
      </c>
      <c r="L286" s="29">
        <f>IF($A286="","",($B286+$C286)*$I286)</f>
        <v/>
      </c>
      <c r="M286" s="29">
        <f>IF($A286="","",$G286*$J286+($E286+$F286+$G286)*$K286)</f>
        <v/>
      </c>
      <c r="N286" s="20" t="n"/>
      <c r="O286" s="10" t="n"/>
      <c r="P286" s="10" t="n"/>
      <c r="Q286" s="29">
        <f>IF($A286="","",IF($P286="YES",IF($O286="Bob",$N286,-$N286),0))</f>
        <v/>
      </c>
      <c r="R286" s="30">
        <f>IF($A286="","",IF(ROUND($S286,2)&gt;0,"Olivia pays Bob "&amp;TEXT($S286,"#,##0.00"),IF(ROUND($S286,2)&lt;0,"Bob pays Olivia "&amp;TEXT(-$S286,"#,##0.00"),"Nothing owed")))</f>
        <v/>
      </c>
      <c r="S286" s="31">
        <f>IF($A286="","",$L286-$M286+$Q286)</f>
        <v/>
      </c>
    </row>
    <row r="287" ht="17" customHeight="1">
      <c r="A287" s="26" t="n"/>
      <c r="B287" s="27" t="n"/>
      <c r="C287" s="27" t="n"/>
      <c r="D287" s="27" t="n"/>
      <c r="E287" s="27" t="n"/>
      <c r="F287" s="27" t="n"/>
      <c r="G287" s="27" t="n"/>
      <c r="H287" s="28">
        <f>IF($A287="","",SUM($B287:$G287))</f>
        <v/>
      </c>
      <c r="I287" s="29">
        <f>IF($A287="","",Rates!$C$6)</f>
        <v/>
      </c>
      <c r="J287" s="29">
        <f>IF($A287="","",Rates!$C$7)</f>
        <v/>
      </c>
      <c r="K287" s="29">
        <f>IF($A287="","",Rates!$C$8)</f>
        <v/>
      </c>
      <c r="L287" s="29">
        <f>IF($A287="","",($B287+$C287)*$I287)</f>
        <v/>
      </c>
      <c r="M287" s="29">
        <f>IF($A287="","",$G287*$J287+($E287+$F287+$G287)*$K287)</f>
        <v/>
      </c>
      <c r="N287" s="20" t="n"/>
      <c r="O287" s="10" t="n"/>
      <c r="P287" s="10" t="n"/>
      <c r="Q287" s="29">
        <f>IF($A287="","",IF($P287="YES",IF($O287="Bob",$N287,-$N287),0))</f>
        <v/>
      </c>
      <c r="R287" s="30">
        <f>IF($A287="","",IF(ROUND($S287,2)&gt;0,"Olivia pays Bob "&amp;TEXT($S287,"#,##0.00"),IF(ROUND($S287,2)&lt;0,"Bob pays Olivia "&amp;TEXT(-$S287,"#,##0.00"),"Nothing owed")))</f>
        <v/>
      </c>
      <c r="S287" s="31">
        <f>IF($A287="","",$L287-$M287+$Q287)</f>
        <v/>
      </c>
    </row>
    <row r="288" ht="17" customHeight="1">
      <c r="A288" s="26" t="n"/>
      <c r="B288" s="27" t="n"/>
      <c r="C288" s="27" t="n"/>
      <c r="D288" s="27" t="n"/>
      <c r="E288" s="27" t="n"/>
      <c r="F288" s="27" t="n"/>
      <c r="G288" s="27" t="n"/>
      <c r="H288" s="28">
        <f>IF($A288="","",SUM($B288:$G288))</f>
        <v/>
      </c>
      <c r="I288" s="29">
        <f>IF($A288="","",Rates!$C$6)</f>
        <v/>
      </c>
      <c r="J288" s="29">
        <f>IF($A288="","",Rates!$C$7)</f>
        <v/>
      </c>
      <c r="K288" s="29">
        <f>IF($A288="","",Rates!$C$8)</f>
        <v/>
      </c>
      <c r="L288" s="29">
        <f>IF($A288="","",($B288+$C288)*$I288)</f>
        <v/>
      </c>
      <c r="M288" s="29">
        <f>IF($A288="","",$G288*$J288+($E288+$F288+$G288)*$K288)</f>
        <v/>
      </c>
      <c r="N288" s="20" t="n"/>
      <c r="O288" s="10" t="n"/>
      <c r="P288" s="10" t="n"/>
      <c r="Q288" s="29">
        <f>IF($A288="","",IF($P288="YES",IF($O288="Bob",$N288,-$N288),0))</f>
        <v/>
      </c>
      <c r="R288" s="30">
        <f>IF($A288="","",IF(ROUND($S288,2)&gt;0,"Olivia pays Bob "&amp;TEXT($S288,"#,##0.00"),IF(ROUND($S288,2)&lt;0,"Bob pays Olivia "&amp;TEXT(-$S288,"#,##0.00"),"Nothing owed")))</f>
        <v/>
      </c>
      <c r="S288" s="31">
        <f>IF($A288="","",$L288-$M288+$Q288)</f>
        <v/>
      </c>
    </row>
    <row r="289" ht="17" customHeight="1">
      <c r="A289" s="26" t="n"/>
      <c r="B289" s="27" t="n"/>
      <c r="C289" s="27" t="n"/>
      <c r="D289" s="27" t="n"/>
      <c r="E289" s="27" t="n"/>
      <c r="F289" s="27" t="n"/>
      <c r="G289" s="27" t="n"/>
      <c r="H289" s="28">
        <f>IF($A289="","",SUM($B289:$G289))</f>
        <v/>
      </c>
      <c r="I289" s="29">
        <f>IF($A289="","",Rates!$C$6)</f>
        <v/>
      </c>
      <c r="J289" s="29">
        <f>IF($A289="","",Rates!$C$7)</f>
        <v/>
      </c>
      <c r="K289" s="29">
        <f>IF($A289="","",Rates!$C$8)</f>
        <v/>
      </c>
      <c r="L289" s="29">
        <f>IF($A289="","",($B289+$C289)*$I289)</f>
        <v/>
      </c>
      <c r="M289" s="29">
        <f>IF($A289="","",$G289*$J289+($E289+$F289+$G289)*$K289)</f>
        <v/>
      </c>
      <c r="N289" s="20" t="n"/>
      <c r="O289" s="10" t="n"/>
      <c r="P289" s="10" t="n"/>
      <c r="Q289" s="29">
        <f>IF($A289="","",IF($P289="YES",IF($O289="Bob",$N289,-$N289),0))</f>
        <v/>
      </c>
      <c r="R289" s="30">
        <f>IF($A289="","",IF(ROUND($S289,2)&gt;0,"Olivia pays Bob "&amp;TEXT($S289,"#,##0.00"),IF(ROUND($S289,2)&lt;0,"Bob pays Olivia "&amp;TEXT(-$S289,"#,##0.00"),"Nothing owed")))</f>
        <v/>
      </c>
      <c r="S289" s="31">
        <f>IF($A289="","",$L289-$M289+$Q289)</f>
        <v/>
      </c>
    </row>
    <row r="290" ht="17" customHeight="1">
      <c r="A290" s="26" t="n"/>
      <c r="B290" s="27" t="n"/>
      <c r="C290" s="27" t="n"/>
      <c r="D290" s="27" t="n"/>
      <c r="E290" s="27" t="n"/>
      <c r="F290" s="27" t="n"/>
      <c r="G290" s="27" t="n"/>
      <c r="H290" s="28">
        <f>IF($A290="","",SUM($B290:$G290))</f>
        <v/>
      </c>
      <c r="I290" s="29">
        <f>IF($A290="","",Rates!$C$6)</f>
        <v/>
      </c>
      <c r="J290" s="29">
        <f>IF($A290="","",Rates!$C$7)</f>
        <v/>
      </c>
      <c r="K290" s="29">
        <f>IF($A290="","",Rates!$C$8)</f>
        <v/>
      </c>
      <c r="L290" s="29">
        <f>IF($A290="","",($B290+$C290)*$I290)</f>
        <v/>
      </c>
      <c r="M290" s="29">
        <f>IF($A290="","",$G290*$J290+($E290+$F290+$G290)*$K290)</f>
        <v/>
      </c>
      <c r="N290" s="20" t="n"/>
      <c r="O290" s="10" t="n"/>
      <c r="P290" s="10" t="n"/>
      <c r="Q290" s="29">
        <f>IF($A290="","",IF($P290="YES",IF($O290="Bob",$N290,-$N290),0))</f>
        <v/>
      </c>
      <c r="R290" s="30">
        <f>IF($A290="","",IF(ROUND($S290,2)&gt;0,"Olivia pays Bob "&amp;TEXT($S290,"#,##0.00"),IF(ROUND($S290,2)&lt;0,"Bob pays Olivia "&amp;TEXT(-$S290,"#,##0.00"),"Nothing owed")))</f>
        <v/>
      </c>
      <c r="S290" s="31">
        <f>IF($A290="","",$L290-$M290+$Q290)</f>
        <v/>
      </c>
    </row>
    <row r="291" ht="17" customHeight="1">
      <c r="A291" s="26" t="n"/>
      <c r="B291" s="27" t="n"/>
      <c r="C291" s="27" t="n"/>
      <c r="D291" s="27" t="n"/>
      <c r="E291" s="27" t="n"/>
      <c r="F291" s="27" t="n"/>
      <c r="G291" s="27" t="n"/>
      <c r="H291" s="28">
        <f>IF($A291="","",SUM($B291:$G291))</f>
        <v/>
      </c>
      <c r="I291" s="29">
        <f>IF($A291="","",Rates!$C$6)</f>
        <v/>
      </c>
      <c r="J291" s="29">
        <f>IF($A291="","",Rates!$C$7)</f>
        <v/>
      </c>
      <c r="K291" s="29">
        <f>IF($A291="","",Rates!$C$8)</f>
        <v/>
      </c>
      <c r="L291" s="29">
        <f>IF($A291="","",($B291+$C291)*$I291)</f>
        <v/>
      </c>
      <c r="M291" s="29">
        <f>IF($A291="","",$G291*$J291+($E291+$F291+$G291)*$K291)</f>
        <v/>
      </c>
      <c r="N291" s="20" t="n"/>
      <c r="O291" s="10" t="n"/>
      <c r="P291" s="10" t="n"/>
      <c r="Q291" s="29">
        <f>IF($A291="","",IF($P291="YES",IF($O291="Bob",$N291,-$N291),0))</f>
        <v/>
      </c>
      <c r="R291" s="30">
        <f>IF($A291="","",IF(ROUND($S291,2)&gt;0,"Olivia pays Bob "&amp;TEXT($S291,"#,##0.00"),IF(ROUND($S291,2)&lt;0,"Bob pays Olivia "&amp;TEXT(-$S291,"#,##0.00"),"Nothing owed")))</f>
        <v/>
      </c>
      <c r="S291" s="31">
        <f>IF($A291="","",$L291-$M291+$Q291)</f>
        <v/>
      </c>
    </row>
    <row r="292" ht="17" customHeight="1">
      <c r="A292" s="26" t="n"/>
      <c r="B292" s="27" t="n"/>
      <c r="C292" s="27" t="n"/>
      <c r="D292" s="27" t="n"/>
      <c r="E292" s="27" t="n"/>
      <c r="F292" s="27" t="n"/>
      <c r="G292" s="27" t="n"/>
      <c r="H292" s="28">
        <f>IF($A292="","",SUM($B292:$G292))</f>
        <v/>
      </c>
      <c r="I292" s="29">
        <f>IF($A292="","",Rates!$C$6)</f>
        <v/>
      </c>
      <c r="J292" s="29">
        <f>IF($A292="","",Rates!$C$7)</f>
        <v/>
      </c>
      <c r="K292" s="29">
        <f>IF($A292="","",Rates!$C$8)</f>
        <v/>
      </c>
      <c r="L292" s="29">
        <f>IF($A292="","",($B292+$C292)*$I292)</f>
        <v/>
      </c>
      <c r="M292" s="29">
        <f>IF($A292="","",$G292*$J292+($E292+$F292+$G292)*$K292)</f>
        <v/>
      </c>
      <c r="N292" s="20" t="n"/>
      <c r="O292" s="10" t="n"/>
      <c r="P292" s="10" t="n"/>
      <c r="Q292" s="29">
        <f>IF($A292="","",IF($P292="YES",IF($O292="Bob",$N292,-$N292),0))</f>
        <v/>
      </c>
      <c r="R292" s="30">
        <f>IF($A292="","",IF(ROUND($S292,2)&gt;0,"Olivia pays Bob "&amp;TEXT($S292,"#,##0.00"),IF(ROUND($S292,2)&lt;0,"Bob pays Olivia "&amp;TEXT(-$S292,"#,##0.00"),"Nothing owed")))</f>
        <v/>
      </c>
      <c r="S292" s="31">
        <f>IF($A292="","",$L292-$M292+$Q292)</f>
        <v/>
      </c>
    </row>
    <row r="293" ht="17" customHeight="1">
      <c r="A293" s="26" t="n"/>
      <c r="B293" s="27" t="n"/>
      <c r="C293" s="27" t="n"/>
      <c r="D293" s="27" t="n"/>
      <c r="E293" s="27" t="n"/>
      <c r="F293" s="27" t="n"/>
      <c r="G293" s="27" t="n"/>
      <c r="H293" s="28">
        <f>IF($A293="","",SUM($B293:$G293))</f>
        <v/>
      </c>
      <c r="I293" s="29">
        <f>IF($A293="","",Rates!$C$6)</f>
        <v/>
      </c>
      <c r="J293" s="29">
        <f>IF($A293="","",Rates!$C$7)</f>
        <v/>
      </c>
      <c r="K293" s="29">
        <f>IF($A293="","",Rates!$C$8)</f>
        <v/>
      </c>
      <c r="L293" s="29">
        <f>IF($A293="","",($B293+$C293)*$I293)</f>
        <v/>
      </c>
      <c r="M293" s="29">
        <f>IF($A293="","",$G293*$J293+($E293+$F293+$G293)*$K293)</f>
        <v/>
      </c>
      <c r="N293" s="20" t="n"/>
      <c r="O293" s="10" t="n"/>
      <c r="P293" s="10" t="n"/>
      <c r="Q293" s="29">
        <f>IF($A293="","",IF($P293="YES",IF($O293="Bob",$N293,-$N293),0))</f>
        <v/>
      </c>
      <c r="R293" s="30">
        <f>IF($A293="","",IF(ROUND($S293,2)&gt;0,"Olivia pays Bob "&amp;TEXT($S293,"#,##0.00"),IF(ROUND($S293,2)&lt;0,"Bob pays Olivia "&amp;TEXT(-$S293,"#,##0.00"),"Nothing owed")))</f>
        <v/>
      </c>
      <c r="S293" s="31">
        <f>IF($A293="","",$L293-$M293+$Q293)</f>
        <v/>
      </c>
    </row>
    <row r="294" ht="17" customHeight="1">
      <c r="A294" s="26" t="n"/>
      <c r="B294" s="27" t="n"/>
      <c r="C294" s="27" t="n"/>
      <c r="D294" s="27" t="n"/>
      <c r="E294" s="27" t="n"/>
      <c r="F294" s="27" t="n"/>
      <c r="G294" s="27" t="n"/>
      <c r="H294" s="28">
        <f>IF($A294="","",SUM($B294:$G294))</f>
        <v/>
      </c>
      <c r="I294" s="29">
        <f>IF($A294="","",Rates!$C$6)</f>
        <v/>
      </c>
      <c r="J294" s="29">
        <f>IF($A294="","",Rates!$C$7)</f>
        <v/>
      </c>
      <c r="K294" s="29">
        <f>IF($A294="","",Rates!$C$8)</f>
        <v/>
      </c>
      <c r="L294" s="29">
        <f>IF($A294="","",($B294+$C294)*$I294)</f>
        <v/>
      </c>
      <c r="M294" s="29">
        <f>IF($A294="","",$G294*$J294+($E294+$F294+$G294)*$K294)</f>
        <v/>
      </c>
      <c r="N294" s="20" t="n"/>
      <c r="O294" s="10" t="n"/>
      <c r="P294" s="10" t="n"/>
      <c r="Q294" s="29">
        <f>IF($A294="","",IF($P294="YES",IF($O294="Bob",$N294,-$N294),0))</f>
        <v/>
      </c>
      <c r="R294" s="30">
        <f>IF($A294="","",IF(ROUND($S294,2)&gt;0,"Olivia pays Bob "&amp;TEXT($S294,"#,##0.00"),IF(ROUND($S294,2)&lt;0,"Bob pays Olivia "&amp;TEXT(-$S294,"#,##0.00"),"Nothing owed")))</f>
        <v/>
      </c>
      <c r="S294" s="31">
        <f>IF($A294="","",$L294-$M294+$Q294)</f>
        <v/>
      </c>
    </row>
    <row r="295" ht="17" customHeight="1">
      <c r="A295" s="26" t="n"/>
      <c r="B295" s="27" t="n"/>
      <c r="C295" s="27" t="n"/>
      <c r="D295" s="27" t="n"/>
      <c r="E295" s="27" t="n"/>
      <c r="F295" s="27" t="n"/>
      <c r="G295" s="27" t="n"/>
      <c r="H295" s="28">
        <f>IF($A295="","",SUM($B295:$G295))</f>
        <v/>
      </c>
      <c r="I295" s="29">
        <f>IF($A295="","",Rates!$C$6)</f>
        <v/>
      </c>
      <c r="J295" s="29">
        <f>IF($A295="","",Rates!$C$7)</f>
        <v/>
      </c>
      <c r="K295" s="29">
        <f>IF($A295="","",Rates!$C$8)</f>
        <v/>
      </c>
      <c r="L295" s="29">
        <f>IF($A295="","",($B295+$C295)*$I295)</f>
        <v/>
      </c>
      <c r="M295" s="29">
        <f>IF($A295="","",$G295*$J295+($E295+$F295+$G295)*$K295)</f>
        <v/>
      </c>
      <c r="N295" s="20" t="n"/>
      <c r="O295" s="10" t="n"/>
      <c r="P295" s="10" t="n"/>
      <c r="Q295" s="29">
        <f>IF($A295="","",IF($P295="YES",IF($O295="Bob",$N295,-$N295),0))</f>
        <v/>
      </c>
      <c r="R295" s="30">
        <f>IF($A295="","",IF(ROUND($S295,2)&gt;0,"Olivia pays Bob "&amp;TEXT($S295,"#,##0.00"),IF(ROUND($S295,2)&lt;0,"Bob pays Olivia "&amp;TEXT(-$S295,"#,##0.00"),"Nothing owed")))</f>
        <v/>
      </c>
      <c r="S295" s="31">
        <f>IF($A295="","",$L295-$M295+$Q295)</f>
        <v/>
      </c>
    </row>
    <row r="296" ht="17" customHeight="1">
      <c r="A296" s="26" t="n"/>
      <c r="B296" s="27" t="n"/>
      <c r="C296" s="27" t="n"/>
      <c r="D296" s="27" t="n"/>
      <c r="E296" s="27" t="n"/>
      <c r="F296" s="27" t="n"/>
      <c r="G296" s="27" t="n"/>
      <c r="H296" s="28">
        <f>IF($A296="","",SUM($B296:$G296))</f>
        <v/>
      </c>
      <c r="I296" s="29">
        <f>IF($A296="","",Rates!$C$6)</f>
        <v/>
      </c>
      <c r="J296" s="29">
        <f>IF($A296="","",Rates!$C$7)</f>
        <v/>
      </c>
      <c r="K296" s="29">
        <f>IF($A296="","",Rates!$C$8)</f>
        <v/>
      </c>
      <c r="L296" s="29">
        <f>IF($A296="","",($B296+$C296)*$I296)</f>
        <v/>
      </c>
      <c r="M296" s="29">
        <f>IF($A296="","",$G296*$J296+($E296+$F296+$G296)*$K296)</f>
        <v/>
      </c>
      <c r="N296" s="20" t="n"/>
      <c r="O296" s="10" t="n"/>
      <c r="P296" s="10" t="n"/>
      <c r="Q296" s="29">
        <f>IF($A296="","",IF($P296="YES",IF($O296="Bob",$N296,-$N296),0))</f>
        <v/>
      </c>
      <c r="R296" s="30">
        <f>IF($A296="","",IF(ROUND($S296,2)&gt;0,"Olivia pays Bob "&amp;TEXT($S296,"#,##0.00"),IF(ROUND($S296,2)&lt;0,"Bob pays Olivia "&amp;TEXT(-$S296,"#,##0.00"),"Nothing owed")))</f>
        <v/>
      </c>
      <c r="S296" s="31">
        <f>IF($A296="","",$L296-$M296+$Q296)</f>
        <v/>
      </c>
    </row>
    <row r="297" ht="17" customHeight="1">
      <c r="A297" s="26" t="n"/>
      <c r="B297" s="27" t="n"/>
      <c r="C297" s="27" t="n"/>
      <c r="D297" s="27" t="n"/>
      <c r="E297" s="27" t="n"/>
      <c r="F297" s="27" t="n"/>
      <c r="G297" s="27" t="n"/>
      <c r="H297" s="28">
        <f>IF($A297="","",SUM($B297:$G297))</f>
        <v/>
      </c>
      <c r="I297" s="29">
        <f>IF($A297="","",Rates!$C$6)</f>
        <v/>
      </c>
      <c r="J297" s="29">
        <f>IF($A297="","",Rates!$C$7)</f>
        <v/>
      </c>
      <c r="K297" s="29">
        <f>IF($A297="","",Rates!$C$8)</f>
        <v/>
      </c>
      <c r="L297" s="29">
        <f>IF($A297="","",($B297+$C297)*$I297)</f>
        <v/>
      </c>
      <c r="M297" s="29">
        <f>IF($A297="","",$G297*$J297+($E297+$F297+$G297)*$K297)</f>
        <v/>
      </c>
      <c r="N297" s="20" t="n"/>
      <c r="O297" s="10" t="n"/>
      <c r="P297" s="10" t="n"/>
      <c r="Q297" s="29">
        <f>IF($A297="","",IF($P297="YES",IF($O297="Bob",$N297,-$N297),0))</f>
        <v/>
      </c>
      <c r="R297" s="30">
        <f>IF($A297="","",IF(ROUND($S297,2)&gt;0,"Olivia pays Bob "&amp;TEXT($S297,"#,##0.00"),IF(ROUND($S297,2)&lt;0,"Bob pays Olivia "&amp;TEXT(-$S297,"#,##0.00"),"Nothing owed")))</f>
        <v/>
      </c>
      <c r="S297" s="31">
        <f>IF($A297="","",$L297-$M297+$Q297)</f>
        <v/>
      </c>
    </row>
    <row r="298" ht="17" customHeight="1">
      <c r="A298" s="26" t="n"/>
      <c r="B298" s="27" t="n"/>
      <c r="C298" s="27" t="n"/>
      <c r="D298" s="27" t="n"/>
      <c r="E298" s="27" t="n"/>
      <c r="F298" s="27" t="n"/>
      <c r="G298" s="27" t="n"/>
      <c r="H298" s="28">
        <f>IF($A298="","",SUM($B298:$G298))</f>
        <v/>
      </c>
      <c r="I298" s="29">
        <f>IF($A298="","",Rates!$C$6)</f>
        <v/>
      </c>
      <c r="J298" s="29">
        <f>IF($A298="","",Rates!$C$7)</f>
        <v/>
      </c>
      <c r="K298" s="29">
        <f>IF($A298="","",Rates!$C$8)</f>
        <v/>
      </c>
      <c r="L298" s="29">
        <f>IF($A298="","",($B298+$C298)*$I298)</f>
        <v/>
      </c>
      <c r="M298" s="29">
        <f>IF($A298="","",$G298*$J298+($E298+$F298+$G298)*$K298)</f>
        <v/>
      </c>
      <c r="N298" s="20" t="n"/>
      <c r="O298" s="10" t="n"/>
      <c r="P298" s="10" t="n"/>
      <c r="Q298" s="29">
        <f>IF($A298="","",IF($P298="YES",IF($O298="Bob",$N298,-$N298),0))</f>
        <v/>
      </c>
      <c r="R298" s="30">
        <f>IF($A298="","",IF(ROUND($S298,2)&gt;0,"Olivia pays Bob "&amp;TEXT($S298,"#,##0.00"),IF(ROUND($S298,2)&lt;0,"Bob pays Olivia "&amp;TEXT(-$S298,"#,##0.00"),"Nothing owed")))</f>
        <v/>
      </c>
      <c r="S298" s="31">
        <f>IF($A298="","",$L298-$M298+$Q298)</f>
        <v/>
      </c>
    </row>
    <row r="299" ht="17" customHeight="1">
      <c r="A299" s="26" t="n"/>
      <c r="B299" s="27" t="n"/>
      <c r="C299" s="27" t="n"/>
      <c r="D299" s="27" t="n"/>
      <c r="E299" s="27" t="n"/>
      <c r="F299" s="27" t="n"/>
      <c r="G299" s="27" t="n"/>
      <c r="H299" s="28">
        <f>IF($A299="","",SUM($B299:$G299))</f>
        <v/>
      </c>
      <c r="I299" s="29">
        <f>IF($A299="","",Rates!$C$6)</f>
        <v/>
      </c>
      <c r="J299" s="29">
        <f>IF($A299="","",Rates!$C$7)</f>
        <v/>
      </c>
      <c r="K299" s="29">
        <f>IF($A299="","",Rates!$C$8)</f>
        <v/>
      </c>
      <c r="L299" s="29">
        <f>IF($A299="","",($B299+$C299)*$I299)</f>
        <v/>
      </c>
      <c r="M299" s="29">
        <f>IF($A299="","",$G299*$J299+($E299+$F299+$G299)*$K299)</f>
        <v/>
      </c>
      <c r="N299" s="20" t="n"/>
      <c r="O299" s="10" t="n"/>
      <c r="P299" s="10" t="n"/>
      <c r="Q299" s="29">
        <f>IF($A299="","",IF($P299="YES",IF($O299="Bob",$N299,-$N299),0))</f>
        <v/>
      </c>
      <c r="R299" s="30">
        <f>IF($A299="","",IF(ROUND($S299,2)&gt;0,"Olivia pays Bob "&amp;TEXT($S299,"#,##0.00"),IF(ROUND($S299,2)&lt;0,"Bob pays Olivia "&amp;TEXT(-$S299,"#,##0.00"),"Nothing owed")))</f>
        <v/>
      </c>
      <c r="S299" s="31">
        <f>IF($A299="","",$L299-$M299+$Q299)</f>
        <v/>
      </c>
    </row>
    <row r="300" ht="17" customHeight="1">
      <c r="A300" s="26" t="n"/>
      <c r="B300" s="27" t="n"/>
      <c r="C300" s="27" t="n"/>
      <c r="D300" s="27" t="n"/>
      <c r="E300" s="27" t="n"/>
      <c r="F300" s="27" t="n"/>
      <c r="G300" s="27" t="n"/>
      <c r="H300" s="28">
        <f>IF($A300="","",SUM($B300:$G300))</f>
        <v/>
      </c>
      <c r="I300" s="29">
        <f>IF($A300="","",Rates!$C$6)</f>
        <v/>
      </c>
      <c r="J300" s="29">
        <f>IF($A300="","",Rates!$C$7)</f>
        <v/>
      </c>
      <c r="K300" s="29">
        <f>IF($A300="","",Rates!$C$8)</f>
        <v/>
      </c>
      <c r="L300" s="29">
        <f>IF($A300="","",($B300+$C300)*$I300)</f>
        <v/>
      </c>
      <c r="M300" s="29">
        <f>IF($A300="","",$G300*$J300+($E300+$F300+$G300)*$K300)</f>
        <v/>
      </c>
      <c r="N300" s="20" t="n"/>
      <c r="O300" s="10" t="n"/>
      <c r="P300" s="10" t="n"/>
      <c r="Q300" s="29">
        <f>IF($A300="","",IF($P300="YES",IF($O300="Bob",$N300,-$N300),0))</f>
        <v/>
      </c>
      <c r="R300" s="30">
        <f>IF($A300="","",IF(ROUND($S300,2)&gt;0,"Olivia pays Bob "&amp;TEXT($S300,"#,##0.00"),IF(ROUND($S300,2)&lt;0,"Bob pays Olivia "&amp;TEXT(-$S300,"#,##0.00"),"Nothing owed")))</f>
        <v/>
      </c>
      <c r="S300" s="31">
        <f>IF($A300="","",$L300-$M300+$Q300)</f>
        <v/>
      </c>
    </row>
    <row r="301" ht="17" customHeight="1">
      <c r="A301" s="26" t="n"/>
      <c r="B301" s="27" t="n"/>
      <c r="C301" s="27" t="n"/>
      <c r="D301" s="27" t="n"/>
      <c r="E301" s="27" t="n"/>
      <c r="F301" s="27" t="n"/>
      <c r="G301" s="27" t="n"/>
      <c r="H301" s="28">
        <f>IF($A301="","",SUM($B301:$G301))</f>
        <v/>
      </c>
      <c r="I301" s="29">
        <f>IF($A301="","",Rates!$C$6)</f>
        <v/>
      </c>
      <c r="J301" s="29">
        <f>IF($A301="","",Rates!$C$7)</f>
        <v/>
      </c>
      <c r="K301" s="29">
        <f>IF($A301="","",Rates!$C$8)</f>
        <v/>
      </c>
      <c r="L301" s="29">
        <f>IF($A301="","",($B301+$C301)*$I301)</f>
        <v/>
      </c>
      <c r="M301" s="29">
        <f>IF($A301="","",$G301*$J301+($E301+$F301+$G301)*$K301)</f>
        <v/>
      </c>
      <c r="N301" s="20" t="n"/>
      <c r="O301" s="10" t="n"/>
      <c r="P301" s="10" t="n"/>
      <c r="Q301" s="29">
        <f>IF($A301="","",IF($P301="YES",IF($O301="Bob",$N301,-$N301),0))</f>
        <v/>
      </c>
      <c r="R301" s="30">
        <f>IF($A301="","",IF(ROUND($S301,2)&gt;0,"Olivia pays Bob "&amp;TEXT($S301,"#,##0.00"),IF(ROUND($S301,2)&lt;0,"Bob pays Olivia "&amp;TEXT(-$S301,"#,##0.00"),"Nothing owed")))</f>
        <v/>
      </c>
      <c r="S301" s="31">
        <f>IF($A301="","",$L301-$M301+$Q301)</f>
        <v/>
      </c>
    </row>
    <row r="302" ht="17" customHeight="1">
      <c r="A302" s="26" t="n"/>
      <c r="B302" s="27" t="n"/>
      <c r="C302" s="27" t="n"/>
      <c r="D302" s="27" t="n"/>
      <c r="E302" s="27" t="n"/>
      <c r="F302" s="27" t="n"/>
      <c r="G302" s="27" t="n"/>
      <c r="H302" s="28">
        <f>IF($A302="","",SUM($B302:$G302))</f>
        <v/>
      </c>
      <c r="I302" s="29">
        <f>IF($A302="","",Rates!$C$6)</f>
        <v/>
      </c>
      <c r="J302" s="29">
        <f>IF($A302="","",Rates!$C$7)</f>
        <v/>
      </c>
      <c r="K302" s="29">
        <f>IF($A302="","",Rates!$C$8)</f>
        <v/>
      </c>
      <c r="L302" s="29">
        <f>IF($A302="","",($B302+$C302)*$I302)</f>
        <v/>
      </c>
      <c r="M302" s="29">
        <f>IF($A302="","",$G302*$J302+($E302+$F302+$G302)*$K302)</f>
        <v/>
      </c>
      <c r="N302" s="20" t="n"/>
      <c r="O302" s="10" t="n"/>
      <c r="P302" s="10" t="n"/>
      <c r="Q302" s="29">
        <f>IF($A302="","",IF($P302="YES",IF($O302="Bob",$N302,-$N302),0))</f>
        <v/>
      </c>
      <c r="R302" s="30">
        <f>IF($A302="","",IF(ROUND($S302,2)&gt;0,"Olivia pays Bob "&amp;TEXT($S302,"#,##0.00"),IF(ROUND($S302,2)&lt;0,"Bob pays Olivia "&amp;TEXT(-$S302,"#,##0.00"),"Nothing owed")))</f>
        <v/>
      </c>
      <c r="S302" s="31">
        <f>IF($A302="","",$L302-$M302+$Q302)</f>
        <v/>
      </c>
    </row>
  </sheetData>
  <autoFilter ref="A2:S302"/>
  <conditionalFormatting sqref="S3:S302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2">
    <dataValidation sqref="O3:O302" showDropDown="0" showInputMessage="0" showErrorMessage="0" allowBlank="1" error="Type Bob or Olivia." type="list">
      <formula1>"Bob,Olivia"</formula1>
    </dataValidation>
    <dataValidation sqref="P3:P302" showDropDown="0" showInputMessage="0" showErrorMessage="0" allowBlank="1" error="Type YES or NO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6" customWidth="1" min="3" max="3"/>
    <col width="16" customWidth="1" min="4" max="4"/>
    <col width="44" customWidth="1" min="5" max="5"/>
  </cols>
  <sheetData>
    <row r="1" ht="24" customHeight="1">
      <c r="A1" s="1" t="inlineStr">
        <is>
          <t>Summary — the balance between Bob and Olivia</t>
        </is>
      </c>
    </row>
    <row r="2">
      <c r="A2" s="2" t="inlineStr">
        <is>
          <t>Change the two dates to settle a week, a month, or everything.</t>
        </is>
      </c>
    </row>
    <row r="4">
      <c r="B4" s="3" t="inlineStr">
        <is>
          <t>From date</t>
        </is>
      </c>
      <c r="C4" s="32" t="n">
        <v>36526</v>
      </c>
    </row>
    <row r="5">
      <c r="B5" s="3" t="inlineStr">
        <is>
          <t>To date</t>
        </is>
      </c>
      <c r="C5" s="32" t="n">
        <v>73050</v>
      </c>
    </row>
    <row r="7">
      <c r="B7" s="3" t="inlineStr">
        <is>
          <t>LEADS IN THE PERIOD</t>
        </is>
      </c>
    </row>
    <row r="8">
      <c r="B8" s="33" t="inlineStr">
        <is>
          <t>Lane</t>
        </is>
      </c>
      <c r="C8" s="33" t="inlineStr">
        <is>
          <t>Leads</t>
        </is>
      </c>
    </row>
    <row r="9">
      <c r="B9" s="34" t="inlineStr">
        <is>
          <t>Bob's own campaign -&gt; Olivia</t>
        </is>
      </c>
      <c r="C9" s="28">
        <f>SUMIFS(Daily!$B$3:$B$302,Daily!$A$3:$A$302,"&gt;="&amp;$C$4,Daily!$A$3:$A$302,"&lt;="&amp;$C$5)</f>
        <v/>
      </c>
    </row>
    <row r="10">
      <c r="B10" s="34" t="inlineStr">
        <is>
          <t>S -&gt; Olivia</t>
        </is>
      </c>
      <c r="C10" s="28">
        <f>SUMIFS(Daily!$C$3:$C$302,Daily!$A$3:$A$302,"&gt;="&amp;$C$4,Daily!$A$3:$A$302,"&lt;="&amp;$C$5)</f>
        <v/>
      </c>
    </row>
    <row r="11">
      <c r="B11" s="35" t="inlineStr">
        <is>
          <t>GS -&gt; Olivia</t>
        </is>
      </c>
      <c r="C11" s="28">
        <f>SUMIFS(Daily!$D$3:$D$302,Daily!$A$3:$A$302,"&gt;="&amp;$C$4,Daily!$A$3:$A$302,"&lt;="&amp;$C$5)</f>
        <v/>
      </c>
    </row>
    <row r="12">
      <c r="B12" s="35" t="inlineStr">
        <is>
          <t>Bob's own campaign -&gt; Bob's private buyer</t>
        </is>
      </c>
      <c r="C12" s="28">
        <f>SUMIFS(Daily!$E$3:$E$302,Daily!$A$3:$A$302,"&gt;="&amp;$C$4,Daily!$A$3:$A$302,"&lt;="&amp;$C$5)</f>
        <v/>
      </c>
    </row>
    <row r="13">
      <c r="B13" s="35" t="inlineStr">
        <is>
          <t>S -&gt; Bob's private buyer</t>
        </is>
      </c>
      <c r="C13" s="28">
        <f>SUMIFS(Daily!$F$3:$F$302,Daily!$A$3:$A$302,"&gt;="&amp;$C$4,Daily!$A$3:$A$302,"&lt;="&amp;$C$5)</f>
        <v/>
      </c>
    </row>
    <row r="14">
      <c r="B14" s="36" t="inlineStr">
        <is>
          <t>GS -&gt; Bob's private buyer</t>
        </is>
      </c>
      <c r="C14" s="28">
        <f>SUMIFS(Daily!$G$3:$G$302,Daily!$A$3:$A$302,"&gt;="&amp;$C$4,Daily!$A$3:$A$302,"&lt;="&amp;$C$5)</f>
        <v/>
      </c>
    </row>
    <row r="15">
      <c r="B15" s="3" t="inlineStr">
        <is>
          <t>Total leads</t>
        </is>
      </c>
      <c r="C15" s="37">
        <f>SUM(C9:C14)</f>
        <v/>
      </c>
    </row>
    <row r="17">
      <c r="B17" s="3" t="inlineStr">
        <is>
          <t>MONEY IN THE PERIOD</t>
        </is>
      </c>
    </row>
    <row r="18">
      <c r="B18" s="16" t="inlineStr">
        <is>
          <t>Olivia owes Bob — lead sales</t>
        </is>
      </c>
      <c r="C18" s="29">
        <f>SUMIFS(Daily!$L$3:$L$302,Daily!$A$3:$A$302,"&gt;="&amp;$C$4,Daily!$A$3:$A$302,"&lt;="&amp;$C$5)</f>
        <v/>
      </c>
      <c r="E18" s="2" t="inlineStr">
        <is>
          <t>Every lead Bob sold her, from his own campaign or from S.</t>
        </is>
      </c>
    </row>
    <row r="19">
      <c r="B19" s="16" t="inlineStr">
        <is>
          <t>Bob owes Olivia — GS leads to his buyers, and panel fee</t>
        </is>
      </c>
      <c r="C19" s="29">
        <f>SUMIFS(Daily!$M$3:$M$302,Daily!$A$3:$A$302,"&gt;="&amp;$C$4,Daily!$A$3:$A$302,"&lt;="&amp;$C$5)</f>
        <v/>
      </c>
      <c r="E19" s="2" t="inlineStr">
        <is>
          <t>GS leads Olivia paid for that went to Bob's private buyer.</t>
        </is>
      </c>
    </row>
    <row r="20">
      <c r="B20" s="16" t="inlineStr">
        <is>
          <t>Other cost adjustment</t>
        </is>
      </c>
      <c r="C20" s="29">
        <f>SUMIFS(Daily!$Q$3:$Q$302,Daily!$A$3:$A$302,"&gt;="&amp;$C$4,Daily!$A$3:$A$302,"&lt;="&amp;$C$5)</f>
        <v/>
      </c>
      <c r="E20" s="2" t="inlineStr">
        <is>
          <t>Plus if Bob paid it, minus if Olivia paid it. Only the rows marked YES.</t>
        </is>
      </c>
    </row>
    <row r="21">
      <c r="B21" s="38" t="inlineStr">
        <is>
          <t>NET FOR THE PERIOD</t>
        </is>
      </c>
      <c r="C21" s="39">
        <f>C18-C19+C20</f>
        <v/>
      </c>
    </row>
    <row r="23">
      <c r="B23" s="3" t="inlineStr">
        <is>
          <t>CHECKS — all four must read 0</t>
        </is>
      </c>
      <c r="E23" s="2" t="inlineStr">
        <is>
          <t>Each one rebuilds a figure a different way. A number other than 0 means a formula has been typed over.</t>
        </is>
      </c>
    </row>
    <row r="24">
      <c r="B24" s="21" t="inlineStr">
        <is>
          <t>1. Lead money, rebuilt from the counts and the prices</t>
        </is>
      </c>
      <c r="C24" s="40">
        <f>ROUND(SUMPRODUCT((Daily!$A$3:$A$302&gt;=$C$4)*(Daily!$A$3:$A$302&lt;=$C$5)*(Daily!$B$3:$B$302+Daily!$C$3:$C$302),Daily!$I$3:$I$302)-SUMPRODUCT((Daily!$A$3:$A$302&gt;=$C$4)*(Daily!$A$3:$A$302&lt;=$C$5)*Daily!$G$3:$G$302,Daily!$J$3:$J$302)-SUMPRODUCT((Daily!$A$3:$A$302&gt;=$C$4)*(Daily!$A$3:$A$302&lt;=$C$5)*(Daily!$E$3:$E$302+Daily!$F$3:$F$302+Daily!$G$3:$G$302),Daily!$K$3:$K$302)-(C18-C19),6)</f>
        <v/>
      </c>
      <c r="E24" s="2" t="inlineStr">
        <is>
          <t>Multiplies the lead counts by the prices itself, instead of trusting the two money columns.</t>
        </is>
      </c>
    </row>
    <row r="25">
      <c r="B25" s="21" t="inlineStr">
        <is>
          <t>2. Other cost, rebuilt from the amount, payer and YES/NO</t>
        </is>
      </c>
      <c r="C25" s="40">
        <f>ROUND(SUMIFS(Daily!$N$3:$N$302,Daily!$P$3:$P$302,"YES",Daily!$O$3:$O$302,"Bob",Daily!$A$3:$A$302,"&gt;="&amp;$C$4,Daily!$A$3:$A$302,"&lt;="&amp;$C$5)-SUMIFS(Daily!$N$3:$N$302,Daily!$P$3:$P$302,"YES",Daily!$O$3:$O$302,"Olivia",Daily!$A$3:$A$302,"&gt;="&amp;$C$4,Daily!$A$3:$A$302,"&lt;="&amp;$C$5)-C20,6)</f>
        <v/>
      </c>
      <c r="E25" s="2" t="inlineStr">
        <is>
          <t>Re-reads the three other-cost columns instead of trusting the adjustment column.</t>
        </is>
      </c>
    </row>
    <row r="26">
      <c r="B26" s="21" t="inlineStr">
        <is>
          <t>3. The daily NET column adds up to the same net</t>
        </is>
      </c>
      <c r="C26" s="40">
        <f>ROUND(C18-C19+C20-SUMIFS(Daily!$S$3:$S$302,Daily!$A$3:$A$302,"&gt;="&amp;$C$4,Daily!$A$3:$A$302,"&lt;="&amp;$C$5),6)</f>
        <v/>
      </c>
      <c r="E26" s="2" t="inlineStr">
        <is>
          <t>Catches a NET cell that has had a number typed straight into it.</t>
        </is>
      </c>
    </row>
    <row r="27">
      <c r="B27" s="21" t="inlineStr">
        <is>
          <t>4. Days in the period with no price on them</t>
        </is>
      </c>
      <c r="C27" s="40">
        <f>SUMPRODUCT((Daily!$A$3:$A$302&gt;=$C$4)*(Daily!$A$3:$A$302&lt;=$C$5)*(Daily!$I$3:$I$302=""))</f>
        <v/>
      </c>
      <c r="E27" s="2" t="inlineStr">
        <is>
          <t>A day priced at nothing earns nothing. Should never be anything but 0.</t>
        </is>
      </c>
    </row>
    <row r="28" ht="28" customHeight="1">
      <c r="B28" s="41" t="inlineStr">
        <is>
          <t>0 means the formulas are intact. It does NOT mean the numbers are right — a lead count typed wrong, or a lead logged in the wrong lane, passes all four silently.</t>
        </is>
      </c>
    </row>
    <row r="31">
      <c r="B31" s="3" t="inlineStr">
        <is>
          <t>MONEY ALREADY TRANSFERRED</t>
        </is>
      </c>
      <c r="E31" s="2" t="inlineStr">
        <is>
          <t>Log every payment here, or the balance below will keep asking for money that has already moved.</t>
        </is>
      </c>
    </row>
    <row r="32">
      <c r="B32" s="33" t="inlineStr">
        <is>
          <t>Date</t>
        </is>
      </c>
      <c r="C32" s="33" t="inlineStr">
        <is>
          <t>Paid by</t>
        </is>
      </c>
      <c r="D32" s="33" t="inlineStr">
        <is>
          <t>Amount</t>
        </is>
      </c>
      <c r="E32" s="33" t="inlineStr">
        <is>
          <t>Note</t>
        </is>
      </c>
    </row>
    <row r="33">
      <c r="B33" s="26" t="n"/>
      <c r="C33" s="10" t="n"/>
      <c r="D33" s="20" t="n"/>
      <c r="E33" s="10" t="n"/>
    </row>
    <row r="34">
      <c r="B34" s="26" t="n"/>
      <c r="C34" s="10" t="n"/>
      <c r="D34" s="20" t="n"/>
      <c r="E34" s="10" t="n"/>
    </row>
    <row r="35">
      <c r="B35" s="26" t="n"/>
      <c r="C35" s="10" t="n"/>
      <c r="D35" s="20" t="n"/>
      <c r="E35" s="10" t="n"/>
    </row>
    <row r="36">
      <c r="B36" s="26" t="n"/>
      <c r="C36" s="10" t="n"/>
      <c r="D36" s="20" t="n"/>
      <c r="E36" s="10" t="n"/>
    </row>
    <row r="37">
      <c r="B37" s="26" t="n"/>
      <c r="C37" s="10" t="n"/>
      <c r="D37" s="20" t="n"/>
      <c r="E37" s="10" t="n"/>
    </row>
    <row r="38">
      <c r="B38" s="26" t="n"/>
      <c r="C38" s="10" t="n"/>
      <c r="D38" s="20" t="n"/>
      <c r="E38" s="10" t="n"/>
    </row>
    <row r="39">
      <c r="B39" s="26" t="n"/>
      <c r="C39" s="10" t="n"/>
      <c r="D39" s="20" t="n"/>
      <c r="E39" s="10" t="n"/>
    </row>
    <row r="40">
      <c r="B40" s="26" t="n"/>
      <c r="C40" s="10" t="n"/>
      <c r="D40" s="20" t="n"/>
      <c r="E40" s="10" t="n"/>
    </row>
    <row r="41">
      <c r="B41" s="26" t="n"/>
      <c r="C41" s="10" t="n"/>
      <c r="D41" s="20" t="n"/>
      <c r="E41" s="10" t="n"/>
    </row>
    <row r="42">
      <c r="B42" s="26" t="n"/>
      <c r="C42" s="10" t="n"/>
      <c r="D42" s="20" t="n"/>
      <c r="E42" s="10" t="n"/>
    </row>
    <row r="43">
      <c r="B43" s="26" t="n"/>
      <c r="C43" s="10" t="n"/>
      <c r="D43" s="20" t="n"/>
      <c r="E43" s="10" t="n"/>
    </row>
    <row r="44">
      <c r="B44" s="26" t="n"/>
      <c r="C44" s="10" t="n"/>
      <c r="D44" s="20" t="n"/>
      <c r="E44" s="10" t="n"/>
    </row>
    <row r="45">
      <c r="B45" s="26" t="n"/>
      <c r="C45" s="10" t="n"/>
      <c r="D45" s="20" t="n"/>
      <c r="E45" s="10" t="n"/>
    </row>
    <row r="46">
      <c r="B46" s="26" t="n"/>
      <c r="C46" s="10" t="n"/>
      <c r="D46" s="20" t="n"/>
      <c r="E46" s="10" t="n"/>
    </row>
    <row r="47">
      <c r="B47" s="26" t="n"/>
      <c r="C47" s="10" t="n"/>
      <c r="D47" s="20" t="n"/>
      <c r="E47" s="10" t="n"/>
    </row>
    <row r="48">
      <c r="B48" s="26" t="n"/>
      <c r="C48" s="10" t="n"/>
      <c r="D48" s="20" t="n"/>
      <c r="E48" s="10" t="n"/>
    </row>
    <row r="49">
      <c r="B49" s="26" t="n"/>
      <c r="C49" s="10" t="n"/>
      <c r="D49" s="20" t="n"/>
      <c r="E49" s="10" t="n"/>
    </row>
    <row r="50">
      <c r="B50" s="26" t="n"/>
      <c r="C50" s="10" t="n"/>
      <c r="D50" s="20" t="n"/>
      <c r="E50" s="10" t="n"/>
    </row>
    <row r="51">
      <c r="B51" s="26" t="n"/>
      <c r="C51" s="10" t="n"/>
      <c r="D51" s="20" t="n"/>
      <c r="E51" s="10" t="n"/>
    </row>
    <row r="52">
      <c r="B52" s="26" t="n"/>
      <c r="C52" s="10" t="n"/>
      <c r="D52" s="20" t="n"/>
      <c r="E52" s="10" t="n"/>
    </row>
    <row r="53">
      <c r="B53" s="26" t="n"/>
      <c r="C53" s="10" t="n"/>
      <c r="D53" s="20" t="n"/>
      <c r="E53" s="10" t="n"/>
    </row>
    <row r="54">
      <c r="B54" s="26" t="n"/>
      <c r="C54" s="10" t="n"/>
      <c r="D54" s="20" t="n"/>
      <c r="E54" s="10" t="n"/>
    </row>
    <row r="55">
      <c r="B55" s="26" t="n"/>
      <c r="C55" s="10" t="n"/>
      <c r="D55" s="20" t="n"/>
      <c r="E55" s="10" t="n"/>
    </row>
    <row r="56">
      <c r="B56" s="26" t="n"/>
      <c r="C56" s="10" t="n"/>
      <c r="D56" s="20" t="n"/>
      <c r="E56" s="10" t="n"/>
    </row>
    <row r="57">
      <c r="B57" s="26" t="n"/>
      <c r="C57" s="10" t="n"/>
      <c r="D57" s="20" t="n"/>
      <c r="E57" s="10" t="n"/>
    </row>
    <row r="59">
      <c r="B59" s="42" t="inlineStr">
        <is>
          <t>Paid by Olivia to Bob</t>
        </is>
      </c>
      <c r="C59" s="29">
        <f>SUMIFS($D$33:$D$57,$C$33:$C$57,"Olivia",$B$33:$B$57,"&gt;="&amp;$C$4,$B$33:$B$57,"&lt;="&amp;$C$5)</f>
        <v/>
      </c>
    </row>
    <row r="60">
      <c r="B60" s="42" t="inlineStr">
        <is>
          <t>Paid by Bob to Olivia</t>
        </is>
      </c>
      <c r="C60" s="29">
        <f>SUMIFS($D$33:$D$57,$C$33:$C$57,"Bob",$B$33:$B$57,"&gt;="&amp;$C$4,$B$33:$B$57,"&lt;="&amp;$C$5)</f>
        <v/>
      </c>
    </row>
    <row r="62">
      <c r="B62" s="38" t="inlineStr">
        <is>
          <t>STILL OUTSTANDING</t>
        </is>
      </c>
      <c r="C62" s="39">
        <f>C21-C59+C60</f>
        <v/>
      </c>
    </row>
    <row r="64" ht="26" customHeight="1">
      <c r="B64" s="43">
        <f>IF(ROUND(C62,2)&gt;0,"OLIVIA PAYS BOB "&amp;TEXT(C62,"#,##0.00"),IF(ROUND(C62,2)&lt;0,"BOB PAYS OLIVIA "&amp;TEXT(-C62,"#,##0.00"),"NOTHING OWED — SETTLED"))</f>
        <v/>
      </c>
    </row>
  </sheetData>
  <mergeCells count="2">
    <mergeCell ref="B28:E28"/>
    <mergeCell ref="B64:D64"/>
  </mergeCells>
  <conditionalFormatting sqref="C24">
    <cfRule type="cellIs" priority="1" operator="notEqual" dxfId="1">
      <formula>0</formula>
    </cfRule>
  </conditionalFormatting>
  <conditionalFormatting sqref="C25">
    <cfRule type="cellIs" priority="2" operator="notEqual" dxfId="1">
      <formula>0</formula>
    </cfRule>
  </conditionalFormatting>
  <conditionalFormatting sqref="C26">
    <cfRule type="cellIs" priority="3" operator="notEqual" dxfId="1">
      <formula>0</formula>
    </cfRule>
  </conditionalFormatting>
  <conditionalFormatting sqref="C27">
    <cfRule type="cellIs" priority="4" operator="notEqual" dxfId="1">
      <formula>0</formula>
    </cfRule>
  </conditionalFormatting>
  <conditionalFormatting sqref="C62">
    <cfRule type="cellIs" priority="5" operator="greaterThan" dxfId="0">
      <formula>0</formula>
    </cfRule>
    <cfRule type="cellIs" priority="6" operator="lessThan" dxfId="1">
      <formula>0</formula>
    </cfRule>
  </conditionalFormatting>
  <dataValidations count="1">
    <dataValidation sqref="C33:C57" showDropDown="0" showInputMessage="0" showErrorMessage="0" allowBlank="1" type="list">
      <formula1>"Bob,Olivia"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2" customWidth="1" min="9" max="9"/>
    <col width="12" customWidth="1" min="10" max="10"/>
    <col width="10" customWidth="1" min="11" max="11"/>
    <col width="13" customWidth="1" min="12" max="12"/>
    <col width="13" customWidth="1" min="13" max="13"/>
    <col width="11" customWidth="1" min="14" max="14"/>
    <col width="11" customWidth="1" min="15" max="15"/>
    <col width="11" customWidth="1" min="16" max="16"/>
    <col width="12" customWidth="1" min="17" max="17"/>
    <col width="30" customWidth="1" min="18" max="18"/>
    <col width="18" customWidth="1" min="19" max="19"/>
  </cols>
  <sheetData>
    <row r="1" ht="22" customHeight="1">
      <c r="A1" s="1" t="inlineStr">
        <is>
          <t>Example — three worked days, numbers typed in so you can check the maths</t>
        </is>
      </c>
    </row>
    <row r="2" ht="46" customHeight="1">
      <c r="A2" s="22" t="inlineStr">
        <is>
          <t>Date</t>
        </is>
      </c>
      <c r="B2" s="23" t="inlineStr">
        <is>
          <t>Leads
Bob's own
-&gt; Olivia</t>
        </is>
      </c>
      <c r="C2" s="23" t="inlineStr">
        <is>
          <t>Leads
S
-&gt; Olivia</t>
        </is>
      </c>
      <c r="D2" s="24" t="inlineStr">
        <is>
          <t>Leads
GS
-&gt; Olivia</t>
        </is>
      </c>
      <c r="E2" s="24" t="inlineStr">
        <is>
          <t>Leads
Bob's own
-&gt; GLU</t>
        </is>
      </c>
      <c r="F2" s="24" t="inlineStr">
        <is>
          <t>Leads
S
-&gt; GLU</t>
        </is>
      </c>
      <c r="G2" s="25" t="inlineStr">
        <is>
          <t>Leads
GS
-&gt; GLU</t>
        </is>
      </c>
      <c r="H2" s="22" t="inlineStr">
        <is>
          <t>Total
leads</t>
        </is>
      </c>
      <c r="I2" s="22" t="inlineStr">
        <is>
          <t>Price
Bob -&gt; Olivia
per lead</t>
        </is>
      </c>
      <c r="J2" s="22" t="inlineStr">
        <is>
          <t>Price
GS -&gt; GLU
per lead</t>
        </is>
      </c>
      <c r="K2" s="22" t="inlineStr">
        <is>
          <t>Panel fee
per lead</t>
        </is>
      </c>
      <c r="L2" s="22" t="inlineStr">
        <is>
          <t>OLIVIA
OWES BOB</t>
        </is>
      </c>
      <c r="M2" s="22" t="inlineStr">
        <is>
          <t>BOB
OWES OLIVIA</t>
        </is>
      </c>
      <c r="N2" s="22" t="inlineStr">
        <is>
          <t>Other cost
amount</t>
        </is>
      </c>
      <c r="O2" s="22" t="inlineStr">
        <is>
          <t>Other cost
paid by</t>
        </is>
      </c>
      <c r="P2" s="22" t="inlineStr">
        <is>
          <t>Settle it?
YES / NO</t>
        </is>
      </c>
      <c r="Q2" s="22" t="inlineStr">
        <is>
          <t>Other cost
adjustment</t>
        </is>
      </c>
      <c r="R2" s="22" t="inlineStr">
        <is>
          <t>Who pays whom</t>
        </is>
      </c>
      <c r="S2" s="22" t="inlineStr">
        <is>
          <t>NET
(+ Olivia pays Bob)
(- Bob pays Olivia)</t>
        </is>
      </c>
    </row>
    <row r="3" ht="17" customHeight="1">
      <c r="A3" s="26" t="n">
        <v>46244</v>
      </c>
      <c r="B3" s="27" t="n">
        <v>40</v>
      </c>
      <c r="C3" s="27" t="n">
        <v>0</v>
      </c>
      <c r="D3" s="27" t="n">
        <v>25</v>
      </c>
      <c r="E3" s="27" t="n">
        <v>10</v>
      </c>
      <c r="F3" s="27" t="n">
        <v>0</v>
      </c>
      <c r="G3" s="27" t="n">
        <v>12</v>
      </c>
      <c r="H3" s="28">
        <f>IF($A3="","",SUM($B3:$G3))</f>
        <v/>
      </c>
      <c r="I3" s="20" t="n">
        <v>8</v>
      </c>
      <c r="J3" s="20" t="n">
        <v>6</v>
      </c>
      <c r="K3" s="20" t="n">
        <v>0</v>
      </c>
      <c r="L3" s="29">
        <f>IF($A3="","",($B3+$C3)*$I3)</f>
        <v/>
      </c>
      <c r="M3" s="29">
        <f>IF($A3="","",$G3*$J3+($E3+$F3+$G3)*$K3)</f>
        <v/>
      </c>
      <c r="N3" s="20" t="n"/>
      <c r="O3" s="10" t="n"/>
      <c r="P3" s="10" t="n"/>
      <c r="Q3" s="29">
        <f>IF($A3="","",IF($P3="YES",IF($O3="Bob",$N3,-$N3),0))</f>
        <v/>
      </c>
      <c r="R3" s="30">
        <f>IF($A3="","",IF(ROUND($S3,2)&gt;0,"Olivia pays Bob "&amp;TEXT($S3,"#,##0.00"),IF(ROUND($S3,2)&lt;0,"Bob pays Olivia "&amp;TEXT(-$S3,"#,##0.00"),"Nothing owed")))</f>
        <v/>
      </c>
      <c r="S3" s="31">
        <f>IF($A3="","",$L3-$M3+$Q3)</f>
        <v/>
      </c>
    </row>
    <row r="4" ht="17" customHeight="1">
      <c r="A4" s="26" t="n">
        <v>46245</v>
      </c>
      <c r="B4" s="27" t="n">
        <v>0</v>
      </c>
      <c r="C4" s="27" t="n">
        <v>35</v>
      </c>
      <c r="D4" s="27" t="n">
        <v>18</v>
      </c>
      <c r="E4" s="27" t="n">
        <v>0</v>
      </c>
      <c r="F4" s="27" t="n">
        <v>8</v>
      </c>
      <c r="G4" s="27" t="n">
        <v>20</v>
      </c>
      <c r="H4" s="28">
        <f>IF($A4="","",SUM($B4:$G4))</f>
        <v/>
      </c>
      <c r="I4" s="20" t="n">
        <v>8</v>
      </c>
      <c r="J4" s="20" t="n">
        <v>6</v>
      </c>
      <c r="K4" s="20" t="n">
        <v>0</v>
      </c>
      <c r="L4" s="29">
        <f>IF($A4="","",($B4+$C4)*$I4)</f>
        <v/>
      </c>
      <c r="M4" s="29">
        <f>IF($A4="","",$G4*$J4+($E4+$F4+$G4)*$K4)</f>
        <v/>
      </c>
      <c r="N4" s="20" t="n">
        <v>30</v>
      </c>
      <c r="O4" s="10" t="inlineStr">
        <is>
          <t>Bob</t>
        </is>
      </c>
      <c r="P4" s="10" t="inlineStr">
        <is>
          <t>YES</t>
        </is>
      </c>
      <c r="Q4" s="29">
        <f>IF($A4="","",IF($P4="YES",IF($O4="Bob",$N4,-$N4),0))</f>
        <v/>
      </c>
      <c r="R4" s="30">
        <f>IF($A4="","",IF(ROUND($S4,2)&gt;0,"Olivia pays Bob "&amp;TEXT($S4,"#,##0.00"),IF(ROUND($S4,2)&lt;0,"Bob pays Olivia "&amp;TEXT(-$S4,"#,##0.00"),"Nothing owed")))</f>
        <v/>
      </c>
      <c r="S4" s="31">
        <f>IF($A4="","",$L4-$M4+$Q4)</f>
        <v/>
      </c>
    </row>
    <row r="5" ht="17" customHeight="1">
      <c r="A5" s="26" t="n">
        <v>46246</v>
      </c>
      <c r="B5" s="27" t="n">
        <v>5</v>
      </c>
      <c r="C5" s="27" t="n">
        <v>0</v>
      </c>
      <c r="D5" s="27" t="n">
        <v>30</v>
      </c>
      <c r="E5" s="27" t="n">
        <v>2</v>
      </c>
      <c r="F5" s="27" t="n">
        <v>0</v>
      </c>
      <c r="G5" s="27" t="n">
        <v>45</v>
      </c>
      <c r="H5" s="28">
        <f>IF($A5="","",SUM($B5:$G5))</f>
        <v/>
      </c>
      <c r="I5" s="20" t="n">
        <v>8</v>
      </c>
      <c r="J5" s="20" t="n">
        <v>6</v>
      </c>
      <c r="K5" s="20" t="n">
        <v>0</v>
      </c>
      <c r="L5" s="29">
        <f>IF($A5="","",($B5+$C5)*$I5)</f>
        <v/>
      </c>
      <c r="M5" s="29">
        <f>IF($A5="","",$G5*$J5+($E5+$F5+$G5)*$K5)</f>
        <v/>
      </c>
      <c r="N5" s="20" t="n">
        <v>50</v>
      </c>
      <c r="O5" s="10" t="inlineStr">
        <is>
          <t>Olivia</t>
        </is>
      </c>
      <c r="P5" s="10" t="inlineStr">
        <is>
          <t>YES</t>
        </is>
      </c>
      <c r="Q5" s="29">
        <f>IF($A5="","",IF($P5="YES",IF($O5="Bob",$N5,-$N5),0))</f>
        <v/>
      </c>
      <c r="R5" s="30">
        <f>IF($A5="","",IF(ROUND($S5,2)&gt;0,"Olivia pays Bob "&amp;TEXT($S5,"#,##0.00"),IF(ROUND($S5,2)&lt;0,"Bob pays Olivia "&amp;TEXT(-$S5,"#,##0.00"),"Nothing owed")))</f>
        <v/>
      </c>
      <c r="S5" s="31">
        <f>IF($A5="","",$L5-$M5+$Q5)</f>
        <v/>
      </c>
    </row>
  </sheetData>
  <autoFilter ref="A2:S5"/>
  <conditionalFormatting sqref="S3:S5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2">
    <dataValidation sqref="O3:O5" showDropDown="0" showInputMessage="0" showErrorMessage="0" allowBlank="1" error="Type Bob or Olivia." type="list">
      <formula1>"Bob,Olivia"</formula1>
    </dataValidation>
    <dataValidation sqref="P3:P5" showDropDown="0" showInputMessage="0" showErrorMessage="0" allowBlank="1" error="Type YES or NO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2026-08-12T20:59:55Z</dcterms:created>
  <dcterms:modified xmlns:dcterms="http://purl.org/dc/terms/" xmlns:xsi="http://www.w3.org/2001/XMLSchema-instance" xsi:type="dcterms:W3CDTF">2026-08-12T20:59:55Z</dcterms:modified>
</cp:coreProperties>
</file>